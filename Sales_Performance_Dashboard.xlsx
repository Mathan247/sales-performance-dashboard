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hidePivotFieldList="1"/>
  <mc:AlternateContent xmlns:mc="http://schemas.openxmlformats.org/markup-compatibility/2006">
    <mc:Choice Requires="x15">
      <x15ac:absPath xmlns:x15ac="http://schemas.microsoft.com/office/spreadsheetml/2010/11/ac" url="C:\Users\ELCOT\Documents\Mathan (Data Analytics)\Excel\"/>
    </mc:Choice>
  </mc:AlternateContent>
  <xr:revisionPtr revIDLastSave="0" documentId="13_ncr:1_{0FE36B93-8A7F-4713-8112-EB676EE37ED3}" xr6:coauthVersionLast="47" xr6:coauthVersionMax="47" xr10:uidLastSave="{00000000-0000-0000-0000-000000000000}"/>
  <bookViews>
    <workbookView xWindow="-120" yWindow="-120" windowWidth="20730" windowHeight="11160" activeTab="3" xr2:uid="{3984A510-272B-4C4C-9EF6-2BE113A25393}"/>
  </bookViews>
  <sheets>
    <sheet name="Raw Data" sheetId="1" r:id="rId1"/>
    <sheet name="Dashboard Data" sheetId="2" r:id="rId2"/>
    <sheet name="Pivot Tables" sheetId="4" r:id="rId3"/>
    <sheet name="Dashboard" sheetId="5" r:id="rId4"/>
  </sheets>
  <definedNames>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 i="2" l="1"/>
  <c r="B13" i="2"/>
  <c r="B10" i="2"/>
  <c r="B7" i="2"/>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alcChain>
</file>

<file path=xl/sharedStrings.xml><?xml version="1.0" encoding="utf-8"?>
<sst xmlns="http://schemas.openxmlformats.org/spreadsheetml/2006/main" count="192" uniqueCount="45">
  <si>
    <t>Date</t>
  </si>
  <si>
    <t>Product</t>
  </si>
  <si>
    <t>Category</t>
  </si>
  <si>
    <t>Region</t>
  </si>
  <si>
    <t>Units Sold</t>
  </si>
  <si>
    <t>Unit Price</t>
  </si>
  <si>
    <t>Total Sales</t>
  </si>
  <si>
    <t>Profit %</t>
  </si>
  <si>
    <t>Smartphone A</t>
  </si>
  <si>
    <t>Electronics</t>
  </si>
  <si>
    <t>North</t>
  </si>
  <si>
    <t>Headphones X</t>
  </si>
  <si>
    <t>South</t>
  </si>
  <si>
    <t>Laptop Pro</t>
  </si>
  <si>
    <t>East</t>
  </si>
  <si>
    <t>Smartwatch S</t>
  </si>
  <si>
    <t>West</t>
  </si>
  <si>
    <t>Blender B</t>
  </si>
  <si>
    <t>Home Appliances</t>
  </si>
  <si>
    <t>Microwave M</t>
  </si>
  <si>
    <t>Vacuum V</t>
  </si>
  <si>
    <t>Air Fryer A</t>
  </si>
  <si>
    <t>Shoes Sporty</t>
  </si>
  <si>
    <t>Fashion</t>
  </si>
  <si>
    <t>T-Shirt Basic</t>
  </si>
  <si>
    <t>Jeans Classic</t>
  </si>
  <si>
    <t>Jacket Winter</t>
  </si>
  <si>
    <t>Profit Amount</t>
  </si>
  <si>
    <t>Total Units Sold</t>
  </si>
  <si>
    <t>Dashboard Data</t>
  </si>
  <si>
    <t>Average Profit</t>
  </si>
  <si>
    <t>Row Labels</t>
  </si>
  <si>
    <t>Grand Total</t>
  </si>
  <si>
    <t>Jan</t>
  </si>
  <si>
    <t>Feb</t>
  </si>
  <si>
    <t>Mar</t>
  </si>
  <si>
    <t>Apr</t>
  </si>
  <si>
    <t>Sum of Total Sales</t>
  </si>
  <si>
    <t>Pivot Table</t>
  </si>
  <si>
    <t>1. Sales by Month</t>
  </si>
  <si>
    <t>2. Top 5 Products</t>
  </si>
  <si>
    <t>Top Selling Product</t>
  </si>
  <si>
    <t>3.Sales by Region</t>
  </si>
  <si>
    <t>4.Category-wise Sales</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</si>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</sst>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u/>
      <sz val="11"/>
      <color theme="1"/>
      <name val="Calibri"/>
      <family val="2"/>
      <scheme val="minor"/>
    </font>
    <font>
      <b/>
      <u/>
      <sz val="12"/>
      <color theme="1"/>
      <name val="Calibri"/>
      <family val="2"/>
      <scheme val="minor"/>
    </font>
    <font>
      <b/>
      <u/>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 fontId="0" fillId="0" borderId="0" xfId="0" applyNumberFormat="1"/>
    <xf numFmtId="0" fontId="1" fillId="0" borderId="0" xfId="0" applyFont="1"/>
    <xf numFmtId="2" fontId="0" fillId="0" borderId="0" xfId="0" applyNumberFormat="1"/>
    <xf numFmtId="0" fontId="2" fillId="0" borderId="0" xfId="0" applyFont="1"/>
    <xf numFmtId="0" fontId="3" fillId="0" borderId="0" xfId="0" applyFont="1"/>
    <xf numFmtId="0" fontId="3" fillId="0" borderId="0" xfId="0" applyFont="1" applyAlignment="1">
      <alignment horizontal="left" vertical="top"/>
    </xf>
    <xf numFmtId="0" fontId="0" fillId="0" borderId="0" xfId="0" pivotButton="1"/>
    <xf numFmtId="0" fontId="0" fillId="0" borderId="0" xfId="0" applyAlignment="1">
      <alignment horizontal="left"/>
    </xf>
    <xf numFmtId="0" fontId="4" fillId="0" borderId="0" xfId="0" applyFont="1"/>
  </cellXfs>
  <cellStyles count="1">
    <cellStyle name="Normal" xfId="0" builtinId="0"/>
  </cellStyles>
  <dxfs count="6">
    <dxf>
      <numFmt numFmtId="1" formatCode="0"/>
    </dxf>
    <dxf>
      <numFmt numFmtId="1" formatCode="0"/>
    </dxf>
    <dxf>
      <numFmt numFmtId="1" formatCode="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Sales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Tables'!$B$7:$B$11</c:f>
              <c:strCache>
                <c:ptCount val="4"/>
                <c:pt idx="0">
                  <c:v>Jan</c:v>
                </c:pt>
                <c:pt idx="1">
                  <c:v>Feb</c:v>
                </c:pt>
                <c:pt idx="2">
                  <c:v>Mar</c:v>
                </c:pt>
                <c:pt idx="3">
                  <c:v>Apr</c:v>
                </c:pt>
              </c:strCache>
            </c:strRef>
          </c:cat>
          <c:val>
            <c:numRef>
              <c:f>'Pivot Tables'!$C$7:$C$11</c:f>
              <c:numCache>
                <c:formatCode>General</c:formatCode>
                <c:ptCount val="4"/>
                <c:pt idx="0">
                  <c:v>26695</c:v>
                </c:pt>
                <c:pt idx="1">
                  <c:v>27580</c:v>
                </c:pt>
                <c:pt idx="2">
                  <c:v>30465</c:v>
                </c:pt>
                <c:pt idx="3">
                  <c:v>27885</c:v>
                </c:pt>
              </c:numCache>
            </c:numRef>
          </c:val>
          <c:smooth val="0"/>
          <c:extLst>
            <c:ext xmlns:c16="http://schemas.microsoft.com/office/drawing/2014/chart" uri="{C3380CC4-5D6E-409C-BE32-E72D297353CC}">
              <c16:uniqueId val="{00000000-DA17-4811-8E92-3898D9B26DCA}"/>
            </c:ext>
          </c:extLst>
        </c:ser>
        <c:dLbls>
          <c:showLegendKey val="0"/>
          <c:showVal val="0"/>
          <c:showCatName val="0"/>
          <c:showSerName val="0"/>
          <c:showPercent val="0"/>
          <c:showBubbleSize val="0"/>
        </c:dLbls>
        <c:marker val="1"/>
        <c:smooth val="0"/>
        <c:axId val="508371608"/>
        <c:axId val="508373720"/>
      </c:lineChart>
      <c:catAx>
        <c:axId val="508371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373720"/>
        <c:crosses val="autoZero"/>
        <c:auto val="1"/>
        <c:lblAlgn val="ctr"/>
        <c:lblOffset val="100"/>
        <c:noMultiLvlLbl val="0"/>
      </c:catAx>
      <c:valAx>
        <c:axId val="5083737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371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Tables'!$C$25</c:f>
              <c:strCache>
                <c:ptCount val="1"/>
                <c:pt idx="0">
                  <c:v>Total</c:v>
                </c:pt>
              </c:strCache>
            </c:strRef>
          </c:tx>
          <c:spPr>
            <a:solidFill>
              <a:schemeClr val="accent1"/>
            </a:solidFill>
            <a:ln>
              <a:noFill/>
            </a:ln>
            <a:effectLst/>
          </c:spPr>
          <c:invertIfNegative val="0"/>
          <c:cat>
            <c:strRef>
              <c:f>'Pivot Tables'!$B$26:$B$31</c:f>
              <c:strCache>
                <c:ptCount val="5"/>
                <c:pt idx="0">
                  <c:v>Smartwatch S</c:v>
                </c:pt>
                <c:pt idx="1">
                  <c:v>Vacuum V</c:v>
                </c:pt>
                <c:pt idx="2">
                  <c:v>Headphones X</c:v>
                </c:pt>
                <c:pt idx="3">
                  <c:v>Laptop Pro</c:v>
                </c:pt>
                <c:pt idx="4">
                  <c:v>Smartphone A</c:v>
                </c:pt>
              </c:strCache>
            </c:strRef>
          </c:cat>
          <c:val>
            <c:numRef>
              <c:f>'Pivot Tables'!$C$26:$C$31</c:f>
              <c:numCache>
                <c:formatCode>General</c:formatCode>
                <c:ptCount val="5"/>
                <c:pt idx="0">
                  <c:v>7500</c:v>
                </c:pt>
                <c:pt idx="1">
                  <c:v>8400</c:v>
                </c:pt>
                <c:pt idx="2">
                  <c:v>8480</c:v>
                </c:pt>
                <c:pt idx="3">
                  <c:v>24000</c:v>
                </c:pt>
                <c:pt idx="4">
                  <c:v>35000</c:v>
                </c:pt>
              </c:numCache>
            </c:numRef>
          </c:val>
          <c:extLst>
            <c:ext xmlns:c16="http://schemas.microsoft.com/office/drawing/2014/chart" uri="{C3380CC4-5D6E-409C-BE32-E72D297353CC}">
              <c16:uniqueId val="{00000000-0339-4620-9E62-0704F94A8088}"/>
            </c:ext>
          </c:extLst>
        </c:ser>
        <c:dLbls>
          <c:showLegendKey val="0"/>
          <c:showVal val="0"/>
          <c:showCatName val="0"/>
          <c:showSerName val="0"/>
          <c:showPercent val="0"/>
          <c:showBubbleSize val="0"/>
        </c:dLbls>
        <c:gapWidth val="219"/>
        <c:axId val="483694832"/>
        <c:axId val="483695184"/>
      </c:barChart>
      <c:catAx>
        <c:axId val="483694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695184"/>
        <c:crosses val="autoZero"/>
        <c:auto val="1"/>
        <c:lblAlgn val="ctr"/>
        <c:lblOffset val="100"/>
        <c:noMultiLvlLbl val="0"/>
      </c:catAx>
      <c:valAx>
        <c:axId val="483695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694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277777777777768"/>
              <c:y val="-2.77777777777778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055555555555556"/>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2777777777777777"/>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8.8888888888888892E-2"/>
              <c:y val="-0.11574074074074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Tables'!$C$43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8E-4740-96BE-EA7795AE53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8E-4740-96BE-EA7795AE53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8E-4740-96BE-EA7795AE53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8E-4740-96BE-EA7795AE53C6}"/>
              </c:ext>
            </c:extLst>
          </c:dPt>
          <c:dLbls>
            <c:dLbl>
              <c:idx val="0"/>
              <c:layout>
                <c:manualLayout>
                  <c:x val="0.10277777777777768"/>
                  <c:y val="-2.77777777777778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F8E-4740-96BE-EA7795AE53C6}"/>
                </c:ext>
              </c:extLst>
            </c:dLbl>
            <c:dLbl>
              <c:idx val="1"/>
              <c:layout>
                <c:manualLayout>
                  <c:x val="0.13055555555555556"/>
                  <c:y val="0.11111111111111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F8E-4740-96BE-EA7795AE53C6}"/>
                </c:ext>
              </c:extLst>
            </c:dLbl>
            <c:dLbl>
              <c:idx val="2"/>
              <c:layout>
                <c:manualLayout>
                  <c:x val="-0.12777777777777777"/>
                  <c:y val="3.240740740740732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F8E-4740-96BE-EA7795AE53C6}"/>
                </c:ext>
              </c:extLst>
            </c:dLbl>
            <c:dLbl>
              <c:idx val="3"/>
              <c:layout>
                <c:manualLayout>
                  <c:x val="-8.8888888888888892E-2"/>
                  <c:y val="-0.115740740740740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F8E-4740-96BE-EA7795AE53C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Tables'!$B$44:$B$48</c:f>
              <c:strCache>
                <c:ptCount val="4"/>
                <c:pt idx="0">
                  <c:v>East</c:v>
                </c:pt>
                <c:pt idx="1">
                  <c:v>North</c:v>
                </c:pt>
                <c:pt idx="2">
                  <c:v>South</c:v>
                </c:pt>
                <c:pt idx="3">
                  <c:v>West</c:v>
                </c:pt>
              </c:strCache>
            </c:strRef>
          </c:cat>
          <c:val>
            <c:numRef>
              <c:f>'Pivot Tables'!$C$44:$C$48</c:f>
              <c:numCache>
                <c:formatCode>General</c:formatCode>
                <c:ptCount val="4"/>
                <c:pt idx="0">
                  <c:v>35130</c:v>
                </c:pt>
                <c:pt idx="1">
                  <c:v>45160</c:v>
                </c:pt>
                <c:pt idx="2">
                  <c:v>15905</c:v>
                </c:pt>
                <c:pt idx="3">
                  <c:v>16430</c:v>
                </c:pt>
              </c:numCache>
            </c:numRef>
          </c:val>
          <c:extLst>
            <c:ext xmlns:c16="http://schemas.microsoft.com/office/drawing/2014/chart" uri="{C3380CC4-5D6E-409C-BE32-E72D297353CC}">
              <c16:uniqueId val="{00000000-5BEF-4205-8D92-2EE2708B445C}"/>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Tables'!$C$62</c:f>
              <c:strCache>
                <c:ptCount val="1"/>
                <c:pt idx="0">
                  <c:v>Total</c:v>
                </c:pt>
              </c:strCache>
            </c:strRef>
          </c:tx>
          <c:spPr>
            <a:solidFill>
              <a:schemeClr val="accent1"/>
            </a:solidFill>
            <a:ln>
              <a:noFill/>
            </a:ln>
            <a:effectLst/>
          </c:spPr>
          <c:invertIfNegative val="0"/>
          <c:cat>
            <c:strRef>
              <c:f>'Pivot Tables'!$B$63:$B$66</c:f>
              <c:strCache>
                <c:ptCount val="3"/>
                <c:pt idx="0">
                  <c:v>Electronics</c:v>
                </c:pt>
                <c:pt idx="1">
                  <c:v>Home Appliances</c:v>
                </c:pt>
                <c:pt idx="2">
                  <c:v>Fashion</c:v>
                </c:pt>
              </c:strCache>
            </c:strRef>
          </c:cat>
          <c:val>
            <c:numRef>
              <c:f>'Pivot Tables'!$C$63:$C$66</c:f>
              <c:numCache>
                <c:formatCode>General</c:formatCode>
                <c:ptCount val="3"/>
                <c:pt idx="0">
                  <c:v>74980</c:v>
                </c:pt>
                <c:pt idx="1">
                  <c:v>24510</c:v>
                </c:pt>
                <c:pt idx="2">
                  <c:v>13135</c:v>
                </c:pt>
              </c:numCache>
            </c:numRef>
          </c:val>
          <c:extLst>
            <c:ext xmlns:c16="http://schemas.microsoft.com/office/drawing/2014/chart" uri="{C3380CC4-5D6E-409C-BE32-E72D297353CC}">
              <c16:uniqueId val="{00000000-A630-43AD-80BB-206D47334884}"/>
            </c:ext>
          </c:extLst>
        </c:ser>
        <c:dLbls>
          <c:showLegendKey val="0"/>
          <c:showVal val="0"/>
          <c:showCatName val="0"/>
          <c:showSerName val="0"/>
          <c:showPercent val="0"/>
          <c:showBubbleSize val="0"/>
        </c:dLbls>
        <c:gapWidth val="219"/>
        <c:overlap val="-27"/>
        <c:axId val="535817008"/>
        <c:axId val="535819120"/>
      </c:barChart>
      <c:catAx>
        <c:axId val="535817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19120"/>
        <c:crosses val="autoZero"/>
        <c:auto val="1"/>
        <c:lblAlgn val="ctr"/>
        <c:lblOffset val="100"/>
        <c:noMultiLvlLbl val="0"/>
      </c:catAx>
      <c:valAx>
        <c:axId val="5358191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17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Tables!PivotTable2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Tables'!$C$25</c:f>
              <c:strCache>
                <c:ptCount val="1"/>
                <c:pt idx="0">
                  <c:v>Total</c:v>
                </c:pt>
              </c:strCache>
            </c:strRef>
          </c:tx>
          <c:spPr>
            <a:solidFill>
              <a:schemeClr val="accent1"/>
            </a:solidFill>
            <a:ln>
              <a:noFill/>
            </a:ln>
            <a:effectLst/>
          </c:spPr>
          <c:invertIfNegative val="0"/>
          <c:cat>
            <c:strRef>
              <c:f>'Pivot Tables'!$B$26:$B$31</c:f>
              <c:strCache>
                <c:ptCount val="5"/>
                <c:pt idx="0">
                  <c:v>Smartwatch S</c:v>
                </c:pt>
                <c:pt idx="1">
                  <c:v>Vacuum V</c:v>
                </c:pt>
                <c:pt idx="2">
                  <c:v>Headphones X</c:v>
                </c:pt>
                <c:pt idx="3">
                  <c:v>Laptop Pro</c:v>
                </c:pt>
                <c:pt idx="4">
                  <c:v>Smartphone A</c:v>
                </c:pt>
              </c:strCache>
            </c:strRef>
          </c:cat>
          <c:val>
            <c:numRef>
              <c:f>'Pivot Tables'!$C$26:$C$31</c:f>
              <c:numCache>
                <c:formatCode>General</c:formatCode>
                <c:ptCount val="5"/>
                <c:pt idx="0">
                  <c:v>7500</c:v>
                </c:pt>
                <c:pt idx="1">
                  <c:v>8400</c:v>
                </c:pt>
                <c:pt idx="2">
                  <c:v>8480</c:v>
                </c:pt>
                <c:pt idx="3">
                  <c:v>24000</c:v>
                </c:pt>
                <c:pt idx="4">
                  <c:v>35000</c:v>
                </c:pt>
              </c:numCache>
            </c:numRef>
          </c:val>
          <c:extLst>
            <c:ext xmlns:c16="http://schemas.microsoft.com/office/drawing/2014/chart" uri="{C3380CC4-5D6E-409C-BE32-E72D297353CC}">
              <c16:uniqueId val="{00000000-38D7-4569-A373-8168FB4BFFF9}"/>
            </c:ext>
          </c:extLst>
        </c:ser>
        <c:dLbls>
          <c:showLegendKey val="0"/>
          <c:showVal val="0"/>
          <c:showCatName val="0"/>
          <c:showSerName val="0"/>
          <c:showPercent val="0"/>
          <c:showBubbleSize val="0"/>
        </c:dLbls>
        <c:gapWidth val="219"/>
        <c:axId val="483694832"/>
        <c:axId val="483695184"/>
      </c:barChart>
      <c:catAx>
        <c:axId val="483694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695184"/>
        <c:crosses val="autoZero"/>
        <c:auto val="1"/>
        <c:lblAlgn val="ctr"/>
        <c:lblOffset val="100"/>
        <c:noMultiLvlLbl val="0"/>
      </c:catAx>
      <c:valAx>
        <c:axId val="4836951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694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Tables!PivotTable1</c:name>
    <c:fmtId val="10"/>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Tables'!$B$7:$B$11</c:f>
              <c:strCache>
                <c:ptCount val="4"/>
                <c:pt idx="0">
                  <c:v>Jan</c:v>
                </c:pt>
                <c:pt idx="1">
                  <c:v>Feb</c:v>
                </c:pt>
                <c:pt idx="2">
                  <c:v>Mar</c:v>
                </c:pt>
                <c:pt idx="3">
                  <c:v>Apr</c:v>
                </c:pt>
              </c:strCache>
            </c:strRef>
          </c:cat>
          <c:val>
            <c:numRef>
              <c:f>'Pivot Tables'!$C$7:$C$11</c:f>
              <c:numCache>
                <c:formatCode>General</c:formatCode>
                <c:ptCount val="4"/>
                <c:pt idx="0">
                  <c:v>26695</c:v>
                </c:pt>
                <c:pt idx="1">
                  <c:v>27580</c:v>
                </c:pt>
                <c:pt idx="2">
                  <c:v>30465</c:v>
                </c:pt>
                <c:pt idx="3">
                  <c:v>27885</c:v>
                </c:pt>
              </c:numCache>
            </c:numRef>
          </c:val>
          <c:smooth val="0"/>
          <c:extLst>
            <c:ext xmlns:c16="http://schemas.microsoft.com/office/drawing/2014/chart" uri="{C3380CC4-5D6E-409C-BE32-E72D297353CC}">
              <c16:uniqueId val="{00000000-422E-4E4A-86F3-CB7002E1A15C}"/>
            </c:ext>
          </c:extLst>
        </c:ser>
        <c:dLbls>
          <c:showLegendKey val="0"/>
          <c:showVal val="0"/>
          <c:showCatName val="0"/>
          <c:showSerName val="0"/>
          <c:showPercent val="0"/>
          <c:showBubbleSize val="0"/>
        </c:dLbls>
        <c:marker val="1"/>
        <c:smooth val="0"/>
        <c:axId val="508371608"/>
        <c:axId val="508373720"/>
      </c:lineChart>
      <c:catAx>
        <c:axId val="508371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373720"/>
        <c:crosses val="autoZero"/>
        <c:auto val="1"/>
        <c:lblAlgn val="ctr"/>
        <c:lblOffset val="100"/>
        <c:noMultiLvlLbl val="0"/>
      </c:catAx>
      <c:valAx>
        <c:axId val="5083737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371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Tables'!$C$62</c:f>
              <c:strCache>
                <c:ptCount val="1"/>
                <c:pt idx="0">
                  <c:v>Total</c:v>
                </c:pt>
              </c:strCache>
            </c:strRef>
          </c:tx>
          <c:spPr>
            <a:solidFill>
              <a:schemeClr val="accent1"/>
            </a:solidFill>
            <a:ln>
              <a:noFill/>
            </a:ln>
            <a:effectLst/>
          </c:spPr>
          <c:invertIfNegative val="0"/>
          <c:cat>
            <c:strRef>
              <c:f>'Pivot Tables'!$B$63:$B$66</c:f>
              <c:strCache>
                <c:ptCount val="3"/>
                <c:pt idx="0">
                  <c:v>Electronics</c:v>
                </c:pt>
                <c:pt idx="1">
                  <c:v>Home Appliances</c:v>
                </c:pt>
                <c:pt idx="2">
                  <c:v>Fashion</c:v>
                </c:pt>
              </c:strCache>
            </c:strRef>
          </c:cat>
          <c:val>
            <c:numRef>
              <c:f>'Pivot Tables'!$C$63:$C$66</c:f>
              <c:numCache>
                <c:formatCode>General</c:formatCode>
                <c:ptCount val="3"/>
                <c:pt idx="0">
                  <c:v>74980</c:v>
                </c:pt>
                <c:pt idx="1">
                  <c:v>24510</c:v>
                </c:pt>
                <c:pt idx="2">
                  <c:v>13135</c:v>
                </c:pt>
              </c:numCache>
            </c:numRef>
          </c:val>
          <c:extLst>
            <c:ext xmlns:c16="http://schemas.microsoft.com/office/drawing/2014/chart" uri="{C3380CC4-5D6E-409C-BE32-E72D297353CC}">
              <c16:uniqueId val="{00000000-476C-4539-9435-EE5E7A8F3B92}"/>
            </c:ext>
          </c:extLst>
        </c:ser>
        <c:dLbls>
          <c:showLegendKey val="0"/>
          <c:showVal val="0"/>
          <c:showCatName val="0"/>
          <c:showSerName val="0"/>
          <c:showPercent val="0"/>
          <c:showBubbleSize val="0"/>
        </c:dLbls>
        <c:gapWidth val="219"/>
        <c:overlap val="-27"/>
        <c:axId val="535817008"/>
        <c:axId val="535819120"/>
      </c:barChart>
      <c:catAx>
        <c:axId val="535817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19120"/>
        <c:crosses val="autoZero"/>
        <c:auto val="1"/>
        <c:lblAlgn val="ctr"/>
        <c:lblOffset val="100"/>
        <c:noMultiLvlLbl val="0"/>
      </c:catAx>
      <c:valAx>
        <c:axId val="5358191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17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Tables!PivotTable3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277777777777768"/>
              <c:y val="-2.77777777777778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055555555555556"/>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2777777777777777"/>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8.8888888888888892E-2"/>
              <c:y val="-0.11574074074074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0277777777777768"/>
              <c:y val="-2.77777777777778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055555555555556"/>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2777777777777777"/>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8.8888888888888892E-2"/>
              <c:y val="-0.11574074074074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277777777777768"/>
              <c:y val="-2.77777777777778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3055555555555556"/>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2777777777777777"/>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8.8888888888888892E-2"/>
              <c:y val="-0.11574074074074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Tables'!$C$43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6D-4EEF-A8E9-DC2115C49A4A}"/>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4C6D-4EEF-A8E9-DC2115C49A4A}"/>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4C6D-4EEF-A8E9-DC2115C49A4A}"/>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4C6D-4EEF-A8E9-DC2115C49A4A}"/>
              </c:ext>
            </c:extLst>
          </c:dPt>
          <c:dLbls>
            <c:dLbl>
              <c:idx val="0"/>
              <c:layout>
                <c:manualLayout>
                  <c:x val="0.10277777777777768"/>
                  <c:y val="-2.77777777777778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C6D-4EEF-A8E9-DC2115C49A4A}"/>
                </c:ext>
              </c:extLst>
            </c:dLbl>
            <c:dLbl>
              <c:idx val="1"/>
              <c:layout>
                <c:manualLayout>
                  <c:x val="0.13055555555555556"/>
                  <c:y val="0.11111111111111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C6D-4EEF-A8E9-DC2115C49A4A}"/>
                </c:ext>
              </c:extLst>
            </c:dLbl>
            <c:dLbl>
              <c:idx val="2"/>
              <c:layout>
                <c:manualLayout>
                  <c:x val="-0.12777777777777777"/>
                  <c:y val="3.240740740740732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C6D-4EEF-A8E9-DC2115C49A4A}"/>
                </c:ext>
              </c:extLst>
            </c:dLbl>
            <c:dLbl>
              <c:idx val="3"/>
              <c:layout>
                <c:manualLayout>
                  <c:x val="-8.8888888888888892E-2"/>
                  <c:y val="-0.115740740740740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C6D-4EEF-A8E9-DC2115C49A4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Tables'!$B$44:$B$48</c:f>
              <c:strCache>
                <c:ptCount val="4"/>
                <c:pt idx="0">
                  <c:v>East</c:v>
                </c:pt>
                <c:pt idx="1">
                  <c:v>North</c:v>
                </c:pt>
                <c:pt idx="2">
                  <c:v>South</c:v>
                </c:pt>
                <c:pt idx="3">
                  <c:v>West</c:v>
                </c:pt>
              </c:strCache>
            </c:strRef>
          </c:cat>
          <c:val>
            <c:numRef>
              <c:f>'Pivot Tables'!$C$44:$C$48</c:f>
              <c:numCache>
                <c:formatCode>General</c:formatCode>
                <c:ptCount val="4"/>
                <c:pt idx="0">
                  <c:v>35130</c:v>
                </c:pt>
                <c:pt idx="1">
                  <c:v>45160</c:v>
                </c:pt>
                <c:pt idx="2">
                  <c:v>15905</c:v>
                </c:pt>
                <c:pt idx="3">
                  <c:v>16430</c:v>
                </c:pt>
              </c:numCache>
            </c:numRef>
          </c:val>
          <c:extLst>
            <c:ext xmlns:c16="http://schemas.microsoft.com/office/drawing/2014/chart" uri="{C3380CC4-5D6E-409C-BE32-E72D297353CC}">
              <c16:uniqueId val="{00000008-4C6D-4EEF-A8E9-DC2115C49A4A}"/>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0</xdr:colOff>
      <xdr:row>5</xdr:row>
      <xdr:rowOff>4762</xdr:rowOff>
    </xdr:from>
    <xdr:to>
      <xdr:col>11</xdr:col>
      <xdr:colOff>304800</xdr:colOff>
      <xdr:row>19</xdr:row>
      <xdr:rowOff>80962</xdr:rowOff>
    </xdr:to>
    <xdr:graphicFrame macro="">
      <xdr:nvGraphicFramePr>
        <xdr:cNvPr id="4" name="Chart 3">
          <a:extLst>
            <a:ext uri="{FF2B5EF4-FFF2-40B4-BE49-F238E27FC236}">
              <a16:creationId xmlns:a16="http://schemas.microsoft.com/office/drawing/2014/main" id="{2BCCDCE9-50DD-6E96-714A-439CF336B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600075</xdr:colOff>
      <xdr:row>23</xdr:row>
      <xdr:rowOff>185737</xdr:rowOff>
    </xdr:from>
    <xdr:to>
      <xdr:col>11</xdr:col>
      <xdr:colOff>323850</xdr:colOff>
      <xdr:row>38</xdr:row>
      <xdr:rowOff>71437</xdr:rowOff>
    </xdr:to>
    <xdr:graphicFrame macro="">
      <xdr:nvGraphicFramePr>
        <xdr:cNvPr id="2" name="Chart 1">
          <a:extLst>
            <a:ext uri="{FF2B5EF4-FFF2-40B4-BE49-F238E27FC236}">
              <a16:creationId xmlns:a16="http://schemas.microsoft.com/office/drawing/2014/main" id="{456278BA-8EEF-812A-8D12-B0AADFA55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41</xdr:row>
      <xdr:rowOff>185737</xdr:rowOff>
    </xdr:from>
    <xdr:to>
      <xdr:col>11</xdr:col>
      <xdr:colOff>333375</xdr:colOff>
      <xdr:row>56</xdr:row>
      <xdr:rowOff>71437</xdr:rowOff>
    </xdr:to>
    <xdr:graphicFrame macro="">
      <xdr:nvGraphicFramePr>
        <xdr:cNvPr id="3" name="Chart 2">
          <a:extLst>
            <a:ext uri="{FF2B5EF4-FFF2-40B4-BE49-F238E27FC236}">
              <a16:creationId xmlns:a16="http://schemas.microsoft.com/office/drawing/2014/main" id="{0391F5A8-1B24-0491-DB7D-0EF973F1D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600075</xdr:colOff>
      <xdr:row>61</xdr:row>
      <xdr:rowOff>4762</xdr:rowOff>
    </xdr:from>
    <xdr:to>
      <xdr:col>11</xdr:col>
      <xdr:colOff>323850</xdr:colOff>
      <xdr:row>75</xdr:row>
      <xdr:rowOff>80962</xdr:rowOff>
    </xdr:to>
    <xdr:graphicFrame macro="">
      <xdr:nvGraphicFramePr>
        <xdr:cNvPr id="5" name="Chart 4">
          <a:extLst>
            <a:ext uri="{FF2B5EF4-FFF2-40B4-BE49-F238E27FC236}">
              <a16:creationId xmlns:a16="http://schemas.microsoft.com/office/drawing/2014/main" id="{EF5FD60D-FDD9-107F-CD08-562FD9B59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9525</xdr:colOff>
      <xdr:row>81</xdr:row>
      <xdr:rowOff>0</xdr:rowOff>
    </xdr:from>
    <xdr:to>
      <xdr:col>9</xdr:col>
      <xdr:colOff>38100</xdr:colOff>
      <xdr:row>89</xdr:row>
      <xdr:rowOff>9525</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0D6C1B8C-66E2-4EAC-A8AD-FE3AD6DBF51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705350" y="15440025"/>
              <a:ext cx="1828800"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81</xdr:row>
      <xdr:rowOff>9526</xdr:rowOff>
    </xdr:from>
    <xdr:to>
      <xdr:col>4</xdr:col>
      <xdr:colOff>66675</xdr:colOff>
      <xdr:row>88</xdr:row>
      <xdr:rowOff>180976</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77DE2A88-DADD-4B82-8C7A-C057CD5EDB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14500" y="15449551"/>
              <a:ext cx="1828800"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600075</xdr:colOff>
      <xdr:row>1</xdr:row>
      <xdr:rowOff>1</xdr:rowOff>
    </xdr:from>
    <xdr:to>
      <xdr:col>14</xdr:col>
      <xdr:colOff>9525</xdr:colOff>
      <xdr:row>5</xdr:row>
      <xdr:rowOff>1201</xdr:rowOff>
    </xdr:to>
    <xdr:grpSp>
      <xdr:nvGrpSpPr>
        <xdr:cNvPr id="5" name="Group 4">
          <a:extLst>
            <a:ext uri="{FF2B5EF4-FFF2-40B4-BE49-F238E27FC236}">
              <a16:creationId xmlns:a16="http://schemas.microsoft.com/office/drawing/2014/main" id="{EAB55CEE-4622-5D36-BA13-3F8E7EAB0698}"/>
            </a:ext>
          </a:extLst>
        </xdr:cNvPr>
        <xdr:cNvGrpSpPr/>
      </xdr:nvGrpSpPr>
      <xdr:grpSpPr>
        <a:xfrm>
          <a:off x="2421731" y="190501"/>
          <a:ext cx="6088857" cy="763200"/>
          <a:chOff x="3038475" y="1"/>
          <a:chExt cx="6115049" cy="763200"/>
        </a:xfrm>
      </xdr:grpSpPr>
      <xdr:sp macro="" textlink="">
        <xdr:nvSpPr>
          <xdr:cNvPr id="2" name="Rectangle: Rounded Corners 1">
            <a:extLst>
              <a:ext uri="{FF2B5EF4-FFF2-40B4-BE49-F238E27FC236}">
                <a16:creationId xmlns:a16="http://schemas.microsoft.com/office/drawing/2014/main" id="{263625B1-6A9E-85C8-75B1-8C525E9D502F}"/>
              </a:ext>
            </a:extLst>
          </xdr:cNvPr>
          <xdr:cNvSpPr/>
        </xdr:nvSpPr>
        <xdr:spPr>
          <a:xfrm>
            <a:off x="3038475" y="1"/>
            <a:ext cx="6115049" cy="762000"/>
          </a:xfrm>
          <a:prstGeom prst="round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E9A20136-DF6D-693E-FD8B-70AE9B219BE7}"/>
              </a:ext>
            </a:extLst>
          </xdr:cNvPr>
          <xdr:cNvSpPr txBox="1"/>
        </xdr:nvSpPr>
        <xdr:spPr>
          <a:xfrm>
            <a:off x="3038475" y="1"/>
            <a:ext cx="6105524" cy="76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u="none" strike="noStrike">
                <a:solidFill>
                  <a:schemeClr val="dk1"/>
                </a:solidFill>
                <a:effectLst/>
                <a:latin typeface="+mn-lt"/>
                <a:ea typeface="+mn-ea"/>
                <a:cs typeface="+mn-cs"/>
              </a:rPr>
              <a:t>Sales Performance Dashboard – 2025</a:t>
            </a:r>
            <a:endParaRPr lang="en-US" sz="2800" b="1" u="none"/>
          </a:p>
        </xdr:txBody>
      </xdr:sp>
    </xdr:grpSp>
    <xdr:clientData/>
  </xdr:twoCellAnchor>
  <xdr:twoCellAnchor>
    <xdr:from>
      <xdr:col>2</xdr:col>
      <xdr:colOff>590550</xdr:colOff>
      <xdr:row>6</xdr:row>
      <xdr:rowOff>0</xdr:rowOff>
    </xdr:from>
    <xdr:to>
      <xdr:col>5</xdr:col>
      <xdr:colOff>323850</xdr:colOff>
      <xdr:row>9</xdr:row>
      <xdr:rowOff>28575</xdr:rowOff>
    </xdr:to>
    <xdr:grpSp>
      <xdr:nvGrpSpPr>
        <xdr:cNvPr id="4113" name="Group 4112">
          <a:extLst>
            <a:ext uri="{FF2B5EF4-FFF2-40B4-BE49-F238E27FC236}">
              <a16:creationId xmlns:a16="http://schemas.microsoft.com/office/drawing/2014/main" id="{D5A09A2C-1BEC-A0EC-75C6-ADD3CC212E51}"/>
            </a:ext>
          </a:extLst>
        </xdr:cNvPr>
        <xdr:cNvGrpSpPr/>
      </xdr:nvGrpSpPr>
      <xdr:grpSpPr>
        <a:xfrm>
          <a:off x="1804988" y="1143000"/>
          <a:ext cx="1554956" cy="600075"/>
          <a:chOff x="2436731" y="1133475"/>
          <a:chExt cx="1835846" cy="600075"/>
        </a:xfrm>
        <a:effectLst>
          <a:outerShdw blurRad="50800" dist="38100" dir="2700000" algn="tl" rotWithShape="0">
            <a:prstClr val="black">
              <a:alpha val="40000"/>
            </a:prstClr>
          </a:outerShdw>
        </a:effectLst>
      </xdr:grpSpPr>
      <xdr:grpSp>
        <xdr:nvGrpSpPr>
          <xdr:cNvPr id="4112" name="Group 4111">
            <a:extLst>
              <a:ext uri="{FF2B5EF4-FFF2-40B4-BE49-F238E27FC236}">
                <a16:creationId xmlns:a16="http://schemas.microsoft.com/office/drawing/2014/main" id="{AF1B9C1B-60C8-ACCB-3AD8-C2B1E4C08F74}"/>
              </a:ext>
            </a:extLst>
          </xdr:cNvPr>
          <xdr:cNvGrpSpPr/>
        </xdr:nvGrpSpPr>
        <xdr:grpSpPr>
          <a:xfrm>
            <a:off x="2436731" y="1133476"/>
            <a:ext cx="1830468" cy="600074"/>
            <a:chOff x="2436731" y="1133476"/>
            <a:chExt cx="1830468" cy="600074"/>
          </a:xfrm>
        </xdr:grpSpPr>
        <xdr:sp macro="" textlink="">
          <xdr:nvSpPr>
            <xdr:cNvPr id="17" name="Rectangle: Rounded Corners 16">
              <a:extLst>
                <a:ext uri="{FF2B5EF4-FFF2-40B4-BE49-F238E27FC236}">
                  <a16:creationId xmlns:a16="http://schemas.microsoft.com/office/drawing/2014/main" id="{CFB3303E-F7E3-C102-F6C6-365731A66C86}"/>
                </a:ext>
              </a:extLst>
            </xdr:cNvPr>
            <xdr:cNvSpPr/>
          </xdr:nvSpPr>
          <xdr:spPr>
            <a:xfrm>
              <a:off x="2447924" y="1143001"/>
              <a:ext cx="1819275" cy="5796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A780A541-3DE3-403B-2F16-82B6C8F1C4D9}"/>
                </a:ext>
              </a:extLst>
            </xdr:cNvPr>
            <xdr:cNvSpPr/>
          </xdr:nvSpPr>
          <xdr:spPr>
            <a:xfrm>
              <a:off x="2436731" y="1133476"/>
              <a:ext cx="516019" cy="600074"/>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20" name="Graphic 19" descr="Coins">
            <a:extLst>
              <a:ext uri="{FF2B5EF4-FFF2-40B4-BE49-F238E27FC236}">
                <a16:creationId xmlns:a16="http://schemas.microsoft.com/office/drawing/2014/main" id="{86AEA029-0861-1EFD-F398-D9A000AED9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486025" y="1181101"/>
            <a:ext cx="413141" cy="552449"/>
          </a:xfrm>
          <a:prstGeom prst="rect">
            <a:avLst/>
          </a:prstGeom>
        </xdr:spPr>
      </xdr:pic>
      <xdr:sp macro="" textlink="">
        <xdr:nvSpPr>
          <xdr:cNvPr id="29" name="TextBox 28">
            <a:extLst>
              <a:ext uri="{FF2B5EF4-FFF2-40B4-BE49-F238E27FC236}">
                <a16:creationId xmlns:a16="http://schemas.microsoft.com/office/drawing/2014/main" id="{82846D31-09CE-C9D2-6D79-8655670EBAC0}"/>
              </a:ext>
            </a:extLst>
          </xdr:cNvPr>
          <xdr:cNvSpPr txBox="1"/>
        </xdr:nvSpPr>
        <xdr:spPr>
          <a:xfrm>
            <a:off x="2971800" y="1133475"/>
            <a:ext cx="1300777" cy="27622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Total Sales</a:t>
            </a:r>
          </a:p>
        </xdr:txBody>
      </xdr:sp>
      <xdr:sp macro="" textlink="'Dashboard Data'!B4">
        <xdr:nvSpPr>
          <xdr:cNvPr id="30" name="TextBox 29">
            <a:extLst>
              <a:ext uri="{FF2B5EF4-FFF2-40B4-BE49-F238E27FC236}">
                <a16:creationId xmlns:a16="http://schemas.microsoft.com/office/drawing/2014/main" id="{C9A2E387-D2A4-FB8E-5199-5C51F8F1B3F1}"/>
              </a:ext>
            </a:extLst>
          </xdr:cNvPr>
          <xdr:cNvSpPr txBox="1"/>
        </xdr:nvSpPr>
        <xdr:spPr>
          <a:xfrm>
            <a:off x="2952751" y="1333500"/>
            <a:ext cx="1298878" cy="381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60FF450-5AE8-476C-A23D-908796F5038F}" type="TxLink">
              <a:rPr lang="en-US" sz="1600" b="1" i="0" u="none" strike="noStrike">
                <a:solidFill>
                  <a:srgbClr val="000000"/>
                </a:solidFill>
                <a:latin typeface="Calibri"/>
                <a:cs typeface="Calibri"/>
              </a:rPr>
              <a:pPr algn="ctr"/>
              <a:t>112625</a:t>
            </a:fld>
            <a:endParaRPr lang="en-US" sz="1600" b="1"/>
          </a:p>
        </xdr:txBody>
      </xdr:sp>
    </xdr:grpSp>
    <xdr:clientData/>
  </xdr:twoCellAnchor>
  <xdr:twoCellAnchor>
    <xdr:from>
      <xdr:col>6</xdr:col>
      <xdr:colOff>66674</xdr:colOff>
      <xdr:row>6</xdr:row>
      <xdr:rowOff>0</xdr:rowOff>
    </xdr:from>
    <xdr:to>
      <xdr:col>8</xdr:col>
      <xdr:colOff>400050</xdr:colOff>
      <xdr:row>9</xdr:row>
      <xdr:rowOff>17626</xdr:rowOff>
    </xdr:to>
    <xdr:grpSp>
      <xdr:nvGrpSpPr>
        <xdr:cNvPr id="4158" name="Group 4157">
          <a:extLst>
            <a:ext uri="{FF2B5EF4-FFF2-40B4-BE49-F238E27FC236}">
              <a16:creationId xmlns:a16="http://schemas.microsoft.com/office/drawing/2014/main" id="{FBE9F343-17E3-9CD7-663E-A0C0419DF38B}"/>
            </a:ext>
          </a:extLst>
        </xdr:cNvPr>
        <xdr:cNvGrpSpPr/>
      </xdr:nvGrpSpPr>
      <xdr:grpSpPr>
        <a:xfrm>
          <a:off x="3709987" y="1143000"/>
          <a:ext cx="1547813" cy="589126"/>
          <a:chOff x="2447924" y="1133475"/>
          <a:chExt cx="1824653" cy="589126"/>
        </a:xfrm>
        <a:effectLst>
          <a:outerShdw blurRad="50800" dist="38100" dir="2700000" algn="tl" rotWithShape="0">
            <a:prstClr val="black">
              <a:alpha val="40000"/>
            </a:prstClr>
          </a:outerShdw>
        </a:effectLst>
      </xdr:grpSpPr>
      <xdr:grpSp>
        <xdr:nvGrpSpPr>
          <xdr:cNvPr id="4159" name="Group 4158">
            <a:extLst>
              <a:ext uri="{FF2B5EF4-FFF2-40B4-BE49-F238E27FC236}">
                <a16:creationId xmlns:a16="http://schemas.microsoft.com/office/drawing/2014/main" id="{257DB820-0287-777A-F379-9BAEDB5AE0D1}"/>
              </a:ext>
            </a:extLst>
          </xdr:cNvPr>
          <xdr:cNvGrpSpPr/>
        </xdr:nvGrpSpPr>
        <xdr:grpSpPr>
          <a:xfrm>
            <a:off x="2447924" y="1142999"/>
            <a:ext cx="1819275" cy="579602"/>
            <a:chOff x="2447924" y="1142999"/>
            <a:chExt cx="1819275" cy="579602"/>
          </a:xfrm>
        </xdr:grpSpPr>
        <xdr:sp macro="" textlink="">
          <xdr:nvSpPr>
            <xdr:cNvPr id="4163" name="Rectangle: Rounded Corners 4162">
              <a:extLst>
                <a:ext uri="{FF2B5EF4-FFF2-40B4-BE49-F238E27FC236}">
                  <a16:creationId xmlns:a16="http://schemas.microsoft.com/office/drawing/2014/main" id="{7F27DB1D-116F-DC8B-00FD-3E08ADD2FB82}"/>
                </a:ext>
              </a:extLst>
            </xdr:cNvPr>
            <xdr:cNvSpPr/>
          </xdr:nvSpPr>
          <xdr:spPr>
            <a:xfrm>
              <a:off x="2447924" y="1143001"/>
              <a:ext cx="1819275" cy="5796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64" name="Rectangle: Rounded Corners 4163">
              <a:extLst>
                <a:ext uri="{FF2B5EF4-FFF2-40B4-BE49-F238E27FC236}">
                  <a16:creationId xmlns:a16="http://schemas.microsoft.com/office/drawing/2014/main" id="{F71782AC-EB4D-4236-6065-40F8422C28C2}"/>
                </a:ext>
              </a:extLst>
            </xdr:cNvPr>
            <xdr:cNvSpPr/>
          </xdr:nvSpPr>
          <xdr:spPr>
            <a:xfrm>
              <a:off x="2447924" y="1142999"/>
              <a:ext cx="526127" cy="571501"/>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4161" name="TextBox 4160">
            <a:extLst>
              <a:ext uri="{FF2B5EF4-FFF2-40B4-BE49-F238E27FC236}">
                <a16:creationId xmlns:a16="http://schemas.microsoft.com/office/drawing/2014/main" id="{989371BF-3331-4B8A-1F24-012E30DEE35F}"/>
              </a:ext>
            </a:extLst>
          </xdr:cNvPr>
          <xdr:cNvSpPr txBox="1"/>
        </xdr:nvSpPr>
        <xdr:spPr>
          <a:xfrm>
            <a:off x="2971800" y="1133475"/>
            <a:ext cx="1300777" cy="2762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Total Units</a:t>
            </a:r>
            <a:r>
              <a:rPr lang="en-US" sz="1100" b="1" baseline="0"/>
              <a:t> Sold</a:t>
            </a:r>
            <a:endParaRPr lang="en-US" sz="1100" b="1"/>
          </a:p>
        </xdr:txBody>
      </xdr:sp>
      <xdr:sp macro="" textlink="'Dashboard Data'!B7">
        <xdr:nvSpPr>
          <xdr:cNvPr id="4162" name="TextBox 4161">
            <a:extLst>
              <a:ext uri="{FF2B5EF4-FFF2-40B4-BE49-F238E27FC236}">
                <a16:creationId xmlns:a16="http://schemas.microsoft.com/office/drawing/2014/main" id="{35F6554B-5B69-B3F0-B928-4843DE98B1E8}"/>
              </a:ext>
            </a:extLst>
          </xdr:cNvPr>
          <xdr:cNvSpPr txBox="1"/>
        </xdr:nvSpPr>
        <xdr:spPr>
          <a:xfrm>
            <a:off x="2952749" y="1333500"/>
            <a:ext cx="1298878" cy="381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649DE1C-250D-4274-9A70-E3DBB328657C}" type="TxLink">
              <a:rPr lang="en-US" sz="1600" b="1" i="0" u="none" strike="noStrike">
                <a:solidFill>
                  <a:srgbClr val="000000"/>
                </a:solidFill>
                <a:latin typeface="Calibri"/>
                <a:cs typeface="Calibri"/>
              </a:rPr>
              <a:pPr algn="ctr"/>
              <a:t>903</a:t>
            </a:fld>
            <a:endParaRPr lang="en-US" sz="1600" b="1"/>
          </a:p>
        </xdr:txBody>
      </xdr:sp>
    </xdr:grpSp>
    <xdr:clientData/>
  </xdr:twoCellAnchor>
  <xdr:twoCellAnchor>
    <xdr:from>
      <xdr:col>9</xdr:col>
      <xdr:colOff>171450</xdr:colOff>
      <xdr:row>6</xdr:row>
      <xdr:rowOff>0</xdr:rowOff>
    </xdr:from>
    <xdr:to>
      <xdr:col>11</xdr:col>
      <xdr:colOff>514350</xdr:colOff>
      <xdr:row>9</xdr:row>
      <xdr:rowOff>19050</xdr:rowOff>
    </xdr:to>
    <xdr:grpSp>
      <xdr:nvGrpSpPr>
        <xdr:cNvPr id="4165" name="Group 4164">
          <a:extLst>
            <a:ext uri="{FF2B5EF4-FFF2-40B4-BE49-F238E27FC236}">
              <a16:creationId xmlns:a16="http://schemas.microsoft.com/office/drawing/2014/main" id="{AEA94E76-69E5-BBF4-119D-7050F0D7DD5A}"/>
            </a:ext>
          </a:extLst>
        </xdr:cNvPr>
        <xdr:cNvGrpSpPr/>
      </xdr:nvGrpSpPr>
      <xdr:grpSpPr>
        <a:xfrm>
          <a:off x="5636419" y="1143000"/>
          <a:ext cx="1557337" cy="590550"/>
          <a:chOff x="2436731" y="1133475"/>
          <a:chExt cx="1835846" cy="590550"/>
        </a:xfrm>
        <a:effectLst>
          <a:outerShdw blurRad="50800" dist="38100" dir="2700000" algn="tl" rotWithShape="0">
            <a:prstClr val="black">
              <a:alpha val="40000"/>
            </a:prstClr>
          </a:outerShdw>
        </a:effectLst>
      </xdr:grpSpPr>
      <xdr:grpSp>
        <xdr:nvGrpSpPr>
          <xdr:cNvPr id="4166" name="Group 4165">
            <a:extLst>
              <a:ext uri="{FF2B5EF4-FFF2-40B4-BE49-F238E27FC236}">
                <a16:creationId xmlns:a16="http://schemas.microsoft.com/office/drawing/2014/main" id="{11EE6A8E-8627-D044-D597-14967C5B052A}"/>
              </a:ext>
            </a:extLst>
          </xdr:cNvPr>
          <xdr:cNvGrpSpPr/>
        </xdr:nvGrpSpPr>
        <xdr:grpSpPr>
          <a:xfrm>
            <a:off x="2436731" y="1133476"/>
            <a:ext cx="1830468" cy="590549"/>
            <a:chOff x="2436731" y="1133476"/>
            <a:chExt cx="1830468" cy="590549"/>
          </a:xfrm>
        </xdr:grpSpPr>
        <xdr:sp macro="" textlink="">
          <xdr:nvSpPr>
            <xdr:cNvPr id="4170" name="Rectangle: Rounded Corners 4169">
              <a:extLst>
                <a:ext uri="{FF2B5EF4-FFF2-40B4-BE49-F238E27FC236}">
                  <a16:creationId xmlns:a16="http://schemas.microsoft.com/office/drawing/2014/main" id="{C16B8AC3-AB2C-200C-5A28-DC9A7BE9C307}"/>
                </a:ext>
              </a:extLst>
            </xdr:cNvPr>
            <xdr:cNvSpPr/>
          </xdr:nvSpPr>
          <xdr:spPr>
            <a:xfrm>
              <a:off x="2447924" y="1143001"/>
              <a:ext cx="1819275" cy="5796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71" name="Rectangle: Rounded Corners 4170">
              <a:extLst>
                <a:ext uri="{FF2B5EF4-FFF2-40B4-BE49-F238E27FC236}">
                  <a16:creationId xmlns:a16="http://schemas.microsoft.com/office/drawing/2014/main" id="{168A41FC-F963-FA94-27F8-F8892B5D66D9}"/>
                </a:ext>
              </a:extLst>
            </xdr:cNvPr>
            <xdr:cNvSpPr/>
          </xdr:nvSpPr>
          <xdr:spPr>
            <a:xfrm>
              <a:off x="2436731" y="1133476"/>
              <a:ext cx="526127" cy="590549"/>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4168" name="TextBox 4167">
            <a:extLst>
              <a:ext uri="{FF2B5EF4-FFF2-40B4-BE49-F238E27FC236}">
                <a16:creationId xmlns:a16="http://schemas.microsoft.com/office/drawing/2014/main" id="{9F8CC762-C9BC-8EDB-270E-17943E5197E8}"/>
              </a:ext>
            </a:extLst>
          </xdr:cNvPr>
          <xdr:cNvSpPr txBox="1"/>
        </xdr:nvSpPr>
        <xdr:spPr>
          <a:xfrm>
            <a:off x="2971800" y="1133475"/>
            <a:ext cx="1300777" cy="2762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Average Profit</a:t>
            </a:r>
          </a:p>
        </xdr:txBody>
      </xdr:sp>
      <xdr:sp macro="" textlink="'Dashboard Data'!B10">
        <xdr:nvSpPr>
          <xdr:cNvPr id="4169" name="TextBox 4168">
            <a:extLst>
              <a:ext uri="{FF2B5EF4-FFF2-40B4-BE49-F238E27FC236}">
                <a16:creationId xmlns:a16="http://schemas.microsoft.com/office/drawing/2014/main" id="{584F383B-4BB2-1277-C5D3-7E8F9804463D}"/>
              </a:ext>
            </a:extLst>
          </xdr:cNvPr>
          <xdr:cNvSpPr txBox="1"/>
        </xdr:nvSpPr>
        <xdr:spPr>
          <a:xfrm>
            <a:off x="2952751" y="1333500"/>
            <a:ext cx="1298878" cy="381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D38DACF-73EE-477A-AA62-879F5C7C6FDB}" type="TxLink">
              <a:rPr lang="en-US" sz="1600" b="1" i="0" u="none" strike="noStrike">
                <a:solidFill>
                  <a:srgbClr val="000000"/>
                </a:solidFill>
                <a:latin typeface="Calibri"/>
                <a:cs typeface="Calibri"/>
              </a:rPr>
              <a:pPr algn="ctr"/>
              <a:t>29.96</a:t>
            </a:fld>
            <a:endParaRPr lang="en-US" sz="1600" b="1"/>
          </a:p>
        </xdr:txBody>
      </xdr:sp>
    </xdr:grpSp>
    <xdr:clientData/>
  </xdr:twoCellAnchor>
  <xdr:twoCellAnchor>
    <xdr:from>
      <xdr:col>12</xdr:col>
      <xdr:colOff>285750</xdr:colOff>
      <xdr:row>6</xdr:row>
      <xdr:rowOff>0</xdr:rowOff>
    </xdr:from>
    <xdr:to>
      <xdr:col>15</xdr:col>
      <xdr:colOff>19050</xdr:colOff>
      <xdr:row>9</xdr:row>
      <xdr:rowOff>28575</xdr:rowOff>
    </xdr:to>
    <xdr:grpSp>
      <xdr:nvGrpSpPr>
        <xdr:cNvPr id="4185" name="Group 4184">
          <a:extLst>
            <a:ext uri="{FF2B5EF4-FFF2-40B4-BE49-F238E27FC236}">
              <a16:creationId xmlns:a16="http://schemas.microsoft.com/office/drawing/2014/main" id="{ED33571B-FDC4-481F-512E-0CEE95D32471}"/>
            </a:ext>
          </a:extLst>
        </xdr:cNvPr>
        <xdr:cNvGrpSpPr/>
      </xdr:nvGrpSpPr>
      <xdr:grpSpPr>
        <a:xfrm>
          <a:off x="7572375" y="1143000"/>
          <a:ext cx="1554956" cy="600075"/>
          <a:chOff x="7867650" y="1143000"/>
          <a:chExt cx="1562100" cy="600075"/>
        </a:xfrm>
        <a:effectLst>
          <a:outerShdw blurRad="50800" dist="38100" dir="2700000" algn="tl" rotWithShape="0">
            <a:prstClr val="black">
              <a:alpha val="40000"/>
            </a:prstClr>
          </a:outerShdw>
        </a:effectLst>
      </xdr:grpSpPr>
      <xdr:grpSp>
        <xdr:nvGrpSpPr>
          <xdr:cNvPr id="4172" name="Group 4171">
            <a:extLst>
              <a:ext uri="{FF2B5EF4-FFF2-40B4-BE49-F238E27FC236}">
                <a16:creationId xmlns:a16="http://schemas.microsoft.com/office/drawing/2014/main" id="{DABF7FFF-3C34-12C4-BF61-DF3C71F907EB}"/>
              </a:ext>
            </a:extLst>
          </xdr:cNvPr>
          <xdr:cNvGrpSpPr/>
        </xdr:nvGrpSpPr>
        <xdr:grpSpPr>
          <a:xfrm>
            <a:off x="7867650" y="1143000"/>
            <a:ext cx="1562100" cy="600075"/>
            <a:chOff x="2436731" y="1133475"/>
            <a:chExt cx="1835846" cy="600075"/>
          </a:xfrm>
        </xdr:grpSpPr>
        <xdr:grpSp>
          <xdr:nvGrpSpPr>
            <xdr:cNvPr id="4173" name="Group 4172">
              <a:extLst>
                <a:ext uri="{FF2B5EF4-FFF2-40B4-BE49-F238E27FC236}">
                  <a16:creationId xmlns:a16="http://schemas.microsoft.com/office/drawing/2014/main" id="{214698CA-6287-BD82-8536-ECEA3D20054B}"/>
                </a:ext>
              </a:extLst>
            </xdr:cNvPr>
            <xdr:cNvGrpSpPr/>
          </xdr:nvGrpSpPr>
          <xdr:grpSpPr>
            <a:xfrm>
              <a:off x="2436731" y="1133475"/>
              <a:ext cx="1830468" cy="600075"/>
              <a:chOff x="2436731" y="1133475"/>
              <a:chExt cx="1830468" cy="600075"/>
            </a:xfrm>
          </xdr:grpSpPr>
          <xdr:sp macro="" textlink="">
            <xdr:nvSpPr>
              <xdr:cNvPr id="4177" name="Rectangle: Rounded Corners 4176">
                <a:extLst>
                  <a:ext uri="{FF2B5EF4-FFF2-40B4-BE49-F238E27FC236}">
                    <a16:creationId xmlns:a16="http://schemas.microsoft.com/office/drawing/2014/main" id="{FEC945DE-FBD5-CE36-012D-D94C59661294}"/>
                  </a:ext>
                </a:extLst>
              </xdr:cNvPr>
              <xdr:cNvSpPr/>
            </xdr:nvSpPr>
            <xdr:spPr>
              <a:xfrm>
                <a:off x="2447924" y="1143001"/>
                <a:ext cx="1819275" cy="5796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78" name="Rectangle: Rounded Corners 4177">
                <a:extLst>
                  <a:ext uri="{FF2B5EF4-FFF2-40B4-BE49-F238E27FC236}">
                    <a16:creationId xmlns:a16="http://schemas.microsoft.com/office/drawing/2014/main" id="{6758D903-1D60-9EF2-CCF5-752F4DAF3888}"/>
                  </a:ext>
                </a:extLst>
              </xdr:cNvPr>
              <xdr:cNvSpPr/>
            </xdr:nvSpPr>
            <xdr:spPr>
              <a:xfrm>
                <a:off x="2436731" y="1133475"/>
                <a:ext cx="537321" cy="60007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4175" name="TextBox 4174">
              <a:extLst>
                <a:ext uri="{FF2B5EF4-FFF2-40B4-BE49-F238E27FC236}">
                  <a16:creationId xmlns:a16="http://schemas.microsoft.com/office/drawing/2014/main" id="{128CE9A2-FBCB-83B1-CF09-2E2F7EF24DA5}"/>
                </a:ext>
              </a:extLst>
            </xdr:cNvPr>
            <xdr:cNvSpPr txBox="1"/>
          </xdr:nvSpPr>
          <xdr:spPr>
            <a:xfrm>
              <a:off x="2971800" y="1133475"/>
              <a:ext cx="1300777" cy="2762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Top Selling</a:t>
              </a:r>
            </a:p>
          </xdr:txBody>
        </xdr:sp>
        <xdr:sp macro="" textlink="'Dashboard Data'!B13">
          <xdr:nvSpPr>
            <xdr:cNvPr id="4176" name="TextBox 4175">
              <a:extLst>
                <a:ext uri="{FF2B5EF4-FFF2-40B4-BE49-F238E27FC236}">
                  <a16:creationId xmlns:a16="http://schemas.microsoft.com/office/drawing/2014/main" id="{19D49162-D7EA-B311-11FB-551A6EFD6921}"/>
                </a:ext>
              </a:extLst>
            </xdr:cNvPr>
            <xdr:cNvSpPr txBox="1"/>
          </xdr:nvSpPr>
          <xdr:spPr>
            <a:xfrm>
              <a:off x="2952751" y="1333500"/>
              <a:ext cx="1298878" cy="381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2943BCD-CADB-4B0D-A9F0-EA38361A8C7A}" type="TxLink">
                <a:rPr lang="en-US" sz="1600" b="1" i="0" u="none" strike="noStrike">
                  <a:solidFill>
                    <a:srgbClr val="000000"/>
                  </a:solidFill>
                  <a:latin typeface="Calibri"/>
                  <a:cs typeface="Calibri"/>
                </a:rPr>
                <a:pPr algn="ctr"/>
                <a:t>T-Shirt Basic</a:t>
              </a:fld>
              <a:endParaRPr lang="en-US" sz="1600" b="1"/>
            </a:p>
          </xdr:txBody>
        </xdr:sp>
      </xdr:grpSp>
      <xdr:pic>
        <xdr:nvPicPr>
          <xdr:cNvPr id="4184" name="Graphic 4183" descr="Shooting star">
            <a:extLst>
              <a:ext uri="{FF2B5EF4-FFF2-40B4-BE49-F238E27FC236}">
                <a16:creationId xmlns:a16="http://schemas.microsoft.com/office/drawing/2014/main" id="{EA1522AF-682A-4A33-B1CC-8C27E084265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915275" y="1171575"/>
            <a:ext cx="352425" cy="571499"/>
          </a:xfrm>
          <a:prstGeom prst="rect">
            <a:avLst/>
          </a:prstGeom>
        </xdr:spPr>
      </xdr:pic>
    </xdr:grpSp>
    <xdr:clientData/>
  </xdr:twoCellAnchor>
  <xdr:twoCellAnchor>
    <xdr:from>
      <xdr:col>6</xdr:col>
      <xdr:colOff>66676</xdr:colOff>
      <xdr:row>6</xdr:row>
      <xdr:rowOff>66674</xdr:rowOff>
    </xdr:from>
    <xdr:to>
      <xdr:col>6</xdr:col>
      <xdr:colOff>485776</xdr:colOff>
      <xdr:row>8</xdr:row>
      <xdr:rowOff>152399</xdr:rowOff>
    </xdr:to>
    <xdr:pic>
      <xdr:nvPicPr>
        <xdr:cNvPr id="4206" name="Graphic 4205" descr="Gold bars">
          <a:extLst>
            <a:ext uri="{FF2B5EF4-FFF2-40B4-BE49-F238E27FC236}">
              <a16:creationId xmlns:a16="http://schemas.microsoft.com/office/drawing/2014/main" id="{172BCB3B-C058-4763-AF78-0E506C62D39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724276" y="1209674"/>
          <a:ext cx="419100" cy="466725"/>
        </a:xfrm>
        <a:prstGeom prst="rect">
          <a:avLst/>
        </a:prstGeom>
      </xdr:spPr>
    </xdr:pic>
    <xdr:clientData/>
  </xdr:twoCellAnchor>
  <xdr:twoCellAnchor>
    <xdr:from>
      <xdr:col>9</xdr:col>
      <xdr:colOff>187754</xdr:colOff>
      <xdr:row>6</xdr:row>
      <xdr:rowOff>9524</xdr:rowOff>
    </xdr:from>
    <xdr:to>
      <xdr:col>10</xdr:col>
      <xdr:colOff>9525</xdr:colOff>
      <xdr:row>8</xdr:row>
      <xdr:rowOff>133350</xdr:rowOff>
    </xdr:to>
    <xdr:pic>
      <xdr:nvPicPr>
        <xdr:cNvPr id="4208" name="Graphic 4207" descr="Upward trend">
          <a:extLst>
            <a:ext uri="{FF2B5EF4-FFF2-40B4-BE49-F238E27FC236}">
              <a16:creationId xmlns:a16="http://schemas.microsoft.com/office/drawing/2014/main" id="{B49FCA6F-A9F8-4963-AD66-79148B47723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674154" y="1152524"/>
          <a:ext cx="431371" cy="504826"/>
        </a:xfrm>
        <a:prstGeom prst="rect">
          <a:avLst/>
        </a:prstGeom>
      </xdr:spPr>
    </xdr:pic>
    <xdr:clientData/>
  </xdr:twoCellAnchor>
  <xdr:twoCellAnchor editAs="oneCell">
    <xdr:from>
      <xdr:col>0</xdr:col>
      <xdr:colOff>257176</xdr:colOff>
      <xdr:row>1</xdr:row>
      <xdr:rowOff>9525</xdr:rowOff>
    </xdr:from>
    <xdr:to>
      <xdr:col>2</xdr:col>
      <xdr:colOff>405976</xdr:colOff>
      <xdr:row>5</xdr:row>
      <xdr:rowOff>183525</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A15C9E2A-95CF-4C01-9F6B-2932BD56E51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57176" y="197810"/>
              <a:ext cx="1367114" cy="927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209550</xdr:colOff>
      <xdr:row>1</xdr:row>
      <xdr:rowOff>9526</xdr:rowOff>
    </xdr:from>
    <xdr:to>
      <xdr:col>17</xdr:col>
      <xdr:colOff>358350</xdr:colOff>
      <xdr:row>7</xdr:row>
      <xdr:rowOff>66455</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0D926809-AAE2-4EAB-9DC1-7B1BAD47316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346905" y="197811"/>
              <a:ext cx="1367114" cy="11866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9525</xdr:colOff>
      <xdr:row>10</xdr:row>
      <xdr:rowOff>0</xdr:rowOff>
    </xdr:from>
    <xdr:to>
      <xdr:col>9</xdr:col>
      <xdr:colOff>9525</xdr:colOff>
      <xdr:row>22</xdr:row>
      <xdr:rowOff>9525</xdr:rowOff>
    </xdr:to>
    <xdr:sp macro="" textlink="">
      <xdr:nvSpPr>
        <xdr:cNvPr id="16" name="Rectangle: Rounded Corners 15">
          <a:extLst>
            <a:ext uri="{FF2B5EF4-FFF2-40B4-BE49-F238E27FC236}">
              <a16:creationId xmlns:a16="http://schemas.microsoft.com/office/drawing/2014/main" id="{78211939-6026-E885-4CAF-D372282D944A}"/>
            </a:ext>
          </a:extLst>
        </xdr:cNvPr>
        <xdr:cNvSpPr/>
      </xdr:nvSpPr>
      <xdr:spPr>
        <a:xfrm>
          <a:off x="1228725" y="1905000"/>
          <a:ext cx="4267200" cy="229552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 by Month</a:t>
          </a:r>
        </a:p>
      </xdr:txBody>
    </xdr:sp>
    <xdr:clientData/>
  </xdr:twoCellAnchor>
  <xdr:twoCellAnchor>
    <xdr:from>
      <xdr:col>2</xdr:col>
      <xdr:colOff>0</xdr:colOff>
      <xdr:row>24</xdr:row>
      <xdr:rowOff>0</xdr:rowOff>
    </xdr:from>
    <xdr:to>
      <xdr:col>9</xdr:col>
      <xdr:colOff>0</xdr:colOff>
      <xdr:row>36</xdr:row>
      <xdr:rowOff>9525</xdr:rowOff>
    </xdr:to>
    <xdr:sp macro="" textlink="">
      <xdr:nvSpPr>
        <xdr:cNvPr id="26" name="Rectangle: Rounded Corners 25">
          <a:extLst>
            <a:ext uri="{FF2B5EF4-FFF2-40B4-BE49-F238E27FC236}">
              <a16:creationId xmlns:a16="http://schemas.microsoft.com/office/drawing/2014/main" id="{F396529B-B929-43EF-8798-021DA48DFDCD}"/>
            </a:ext>
          </a:extLst>
        </xdr:cNvPr>
        <xdr:cNvSpPr/>
      </xdr:nvSpPr>
      <xdr:spPr>
        <a:xfrm>
          <a:off x="1219200" y="4572000"/>
          <a:ext cx="4267200" cy="229552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r>
            <a:rPr lang="en-US" sz="1200" b="1">
              <a:solidFill>
                <a:schemeClr val="tx1"/>
              </a:solidFill>
            </a:rPr>
            <a:t>Sales by Region</a:t>
          </a:r>
        </a:p>
      </xdr:txBody>
    </xdr:sp>
    <xdr:clientData/>
  </xdr:twoCellAnchor>
  <xdr:twoCellAnchor>
    <xdr:from>
      <xdr:col>10</xdr:col>
      <xdr:colOff>0</xdr:colOff>
      <xdr:row>24</xdr:row>
      <xdr:rowOff>0</xdr:rowOff>
    </xdr:from>
    <xdr:to>
      <xdr:col>17</xdr:col>
      <xdr:colOff>0</xdr:colOff>
      <xdr:row>36</xdr:row>
      <xdr:rowOff>9525</xdr:rowOff>
    </xdr:to>
    <xdr:sp macro="" textlink="">
      <xdr:nvSpPr>
        <xdr:cNvPr id="27" name="Rectangle: Rounded Corners 26">
          <a:extLst>
            <a:ext uri="{FF2B5EF4-FFF2-40B4-BE49-F238E27FC236}">
              <a16:creationId xmlns:a16="http://schemas.microsoft.com/office/drawing/2014/main" id="{AAF9136D-6F50-4F64-A3DA-D2622D5351A1}"/>
            </a:ext>
          </a:extLst>
        </xdr:cNvPr>
        <xdr:cNvSpPr/>
      </xdr:nvSpPr>
      <xdr:spPr>
        <a:xfrm>
          <a:off x="6096000" y="4572000"/>
          <a:ext cx="4267200" cy="229552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Category-wise Sales</a:t>
          </a:r>
        </a:p>
      </xdr:txBody>
    </xdr:sp>
    <xdr:clientData/>
  </xdr:twoCellAnchor>
  <xdr:twoCellAnchor>
    <xdr:from>
      <xdr:col>10</xdr:col>
      <xdr:colOff>0</xdr:colOff>
      <xdr:row>10</xdr:row>
      <xdr:rowOff>0</xdr:rowOff>
    </xdr:from>
    <xdr:to>
      <xdr:col>17</xdr:col>
      <xdr:colOff>0</xdr:colOff>
      <xdr:row>22</xdr:row>
      <xdr:rowOff>9525</xdr:rowOff>
    </xdr:to>
    <xdr:sp macro="" textlink="">
      <xdr:nvSpPr>
        <xdr:cNvPr id="28" name="Rectangle: Rounded Corners 27">
          <a:extLst>
            <a:ext uri="{FF2B5EF4-FFF2-40B4-BE49-F238E27FC236}">
              <a16:creationId xmlns:a16="http://schemas.microsoft.com/office/drawing/2014/main" id="{CC2D2F35-6EF4-4410-9F18-64E205441EA6}"/>
            </a:ext>
          </a:extLst>
        </xdr:cNvPr>
        <xdr:cNvSpPr/>
      </xdr:nvSpPr>
      <xdr:spPr>
        <a:xfrm>
          <a:off x="6096000" y="1905000"/>
          <a:ext cx="4267200" cy="229552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tx1"/>
              </a:solidFill>
              <a:effectLst/>
              <a:latin typeface="+mn-lt"/>
              <a:ea typeface="+mn-ea"/>
              <a:cs typeface="+mn-cs"/>
            </a:rPr>
            <a:t>Top 5 Products</a:t>
          </a:r>
          <a:r>
            <a:rPr lang="en-US" sz="1200" u="none">
              <a:solidFill>
                <a:schemeClr val="tx1"/>
              </a:solidFill>
            </a:rPr>
            <a:t> </a:t>
          </a:r>
        </a:p>
      </xdr:txBody>
    </xdr:sp>
    <xdr:clientData/>
  </xdr:twoCellAnchor>
  <xdr:twoCellAnchor>
    <xdr:from>
      <xdr:col>10</xdr:col>
      <xdr:colOff>209550</xdr:colOff>
      <xdr:row>12</xdr:row>
      <xdr:rowOff>28574</xdr:rowOff>
    </xdr:from>
    <xdr:to>
      <xdr:col>16</xdr:col>
      <xdr:colOff>476250</xdr:colOff>
      <xdr:row>21</xdr:row>
      <xdr:rowOff>95249</xdr:rowOff>
    </xdr:to>
    <xdr:graphicFrame macro="">
      <xdr:nvGraphicFramePr>
        <xdr:cNvPr id="4097" name="Chart 4096">
          <a:extLst>
            <a:ext uri="{FF2B5EF4-FFF2-40B4-BE49-F238E27FC236}">
              <a16:creationId xmlns:a16="http://schemas.microsoft.com/office/drawing/2014/main" id="{34CD8A1D-E7C8-4503-8EFA-2BB00CAEA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200025</xdr:colOff>
      <xdr:row>11</xdr:row>
      <xdr:rowOff>171451</xdr:rowOff>
    </xdr:from>
    <xdr:to>
      <xdr:col>8</xdr:col>
      <xdr:colOff>409575</xdr:colOff>
      <xdr:row>21</xdr:row>
      <xdr:rowOff>57150</xdr:rowOff>
    </xdr:to>
    <xdr:graphicFrame macro="">
      <xdr:nvGraphicFramePr>
        <xdr:cNvPr id="4098" name="Chart 4097">
          <a:extLst>
            <a:ext uri="{FF2B5EF4-FFF2-40B4-BE49-F238E27FC236}">
              <a16:creationId xmlns:a16="http://schemas.microsoft.com/office/drawing/2014/main" id="{D67D7ACC-2A70-4579-B0CB-CD908FEE8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219074</xdr:colOff>
      <xdr:row>26</xdr:row>
      <xdr:rowOff>19050</xdr:rowOff>
    </xdr:from>
    <xdr:to>
      <xdr:col>16</xdr:col>
      <xdr:colOff>438149</xdr:colOff>
      <xdr:row>35</xdr:row>
      <xdr:rowOff>66675</xdr:rowOff>
    </xdr:to>
    <xdr:graphicFrame macro="">
      <xdr:nvGraphicFramePr>
        <xdr:cNvPr id="4100" name="Chart 4099">
          <a:extLst>
            <a:ext uri="{FF2B5EF4-FFF2-40B4-BE49-F238E27FC236}">
              <a16:creationId xmlns:a16="http://schemas.microsoft.com/office/drawing/2014/main" id="{2C7606C5-3BF9-4A7A-AF0B-9BBC3A0DA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133350</xdr:colOff>
      <xdr:row>26</xdr:row>
      <xdr:rowOff>9525</xdr:rowOff>
    </xdr:from>
    <xdr:to>
      <xdr:col>8</xdr:col>
      <xdr:colOff>447675</xdr:colOff>
      <xdr:row>35</xdr:row>
      <xdr:rowOff>114299</xdr:rowOff>
    </xdr:to>
    <xdr:graphicFrame macro="">
      <xdr:nvGraphicFramePr>
        <xdr:cNvPr id="4101" name="Chart 4100">
          <a:extLst>
            <a:ext uri="{FF2B5EF4-FFF2-40B4-BE49-F238E27FC236}">
              <a16:creationId xmlns:a16="http://schemas.microsoft.com/office/drawing/2014/main" id="{21BF54F2-344B-4E7F-81EC-E7507758C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5991.831911226851" createdVersion="8" refreshedVersion="8" minRefreshableVersion="3" recordCount="48" xr:uid="{07BB5633-3632-454B-9CC3-25A3B0A51DE3}">
  <cacheSource type="worksheet">
    <worksheetSource name="Sales_Data"/>
  </cacheSource>
  <cacheFields count="11">
    <cacheField name="Date" numFmtId="14">
      <sharedItems containsSemiMixedTypes="0" containsNonDate="0" containsDate="1" containsString="0" minDate="2025-01-03T00:00:00" maxDate="2025-04-29T00:00:00" count="48">
        <d v="2025-01-03T00:00:00"/>
        <d v="2025-01-05T00:00:00"/>
        <d v="2025-01-07T00:00:00"/>
        <d v="2025-01-10T00:00:00"/>
        <d v="2025-01-12T00:00:00"/>
        <d v="2025-01-15T00:00:00"/>
        <d v="2025-01-17T00:00:00"/>
        <d v="2025-01-20T00:00:00"/>
        <d v="2025-01-22T00:00:00"/>
        <d v="2025-01-25T00:00:00"/>
        <d v="2025-01-26T00:00:00"/>
        <d v="2025-01-28T00:00:00"/>
        <d v="2025-02-03T00:00:00"/>
        <d v="2025-02-05T00:00:00"/>
        <d v="2025-02-06T00:00:00"/>
        <d v="2025-02-10T00:00:00"/>
        <d v="2025-02-12T00:00:00"/>
        <d v="2025-02-15T00:00:00"/>
        <d v="2025-02-17T00:00:00"/>
        <d v="2025-02-19T00:00:00"/>
        <d v="2025-02-21T00:00:00"/>
        <d v="2025-02-25T00:00:00"/>
        <d v="2025-02-27T00:00:00"/>
        <d v="2025-02-28T00:00:00"/>
        <d v="2025-03-03T00:00:00"/>
        <d v="2025-03-05T00:00:00"/>
        <d v="2025-03-07T00:00:00"/>
        <d v="2025-03-10T00:00:00"/>
        <d v="2025-03-12T00:00:00"/>
        <d v="2025-03-14T00:00:00"/>
        <d v="2025-03-17T00:00:00"/>
        <d v="2025-03-20T00:00:00"/>
        <d v="2025-03-21T00:00:00"/>
        <d v="2025-03-24T00:00:00"/>
        <d v="2025-03-26T00:00:00"/>
        <d v="2025-03-28T00:00:00"/>
        <d v="2025-04-03T00:00:00"/>
        <d v="2025-04-05T00:00:00"/>
        <d v="2025-04-07T00:00:00"/>
        <d v="2025-04-10T00:00:00"/>
        <d v="2025-04-12T00:00:00"/>
        <d v="2025-04-14T00:00:00"/>
        <d v="2025-04-17T00:00:00"/>
        <d v="2025-04-20T00:00:00"/>
        <d v="2025-04-22T00:00:00"/>
        <d v="2025-04-25T00:00:00"/>
        <d v="2025-04-27T00:00:00"/>
        <d v="2025-04-28T00:00:00"/>
      </sharedItems>
      <fieldGroup par="10"/>
    </cacheField>
    <cacheField name="Product" numFmtId="0">
      <sharedItems count="12">
        <s v="Smartphone A"/>
        <s v="Headphones X"/>
        <s v="Laptop Pro"/>
        <s v="Smartwatch S"/>
        <s v="Blender B"/>
        <s v="Microwave M"/>
        <s v="Vacuum V"/>
        <s v="Air Fryer A"/>
        <s v="Shoes Sporty"/>
        <s v="T-Shirt Basic"/>
        <s v="Jeans Classic"/>
        <s v="Jacket Winter"/>
      </sharedItems>
    </cacheField>
    <cacheField name="Category" numFmtId="0">
      <sharedItems count="3">
        <s v="Electronics"/>
        <s v="Home Appliances"/>
        <s v="Fashion"/>
      </sharedItems>
    </cacheField>
    <cacheField name="Region" numFmtId="0">
      <sharedItems count="4">
        <s v="North"/>
        <s v="South"/>
        <s v="East"/>
        <s v="West"/>
      </sharedItems>
    </cacheField>
    <cacheField name="Units Sold" numFmtId="1">
      <sharedItems containsSemiMixedTypes="0" containsString="0" containsNumber="1" containsInteger="1" minValue="4" maxValue="52"/>
    </cacheField>
    <cacheField name="Unit Price" numFmtId="1">
      <sharedItems containsSemiMixedTypes="0" containsString="0" containsNumber="1" containsInteger="1" minValue="15" maxValue="1200"/>
    </cacheField>
    <cacheField name="Total Sales" numFmtId="1">
      <sharedItems containsSemiMixedTypes="0" containsString="0" containsNumber="1" containsInteger="1" minValue="560" maxValue="10000"/>
    </cacheField>
    <cacheField name="Profit %" numFmtId="1">
      <sharedItems containsSemiMixedTypes="0" containsString="0" containsNumber="1" containsInteger="1" minValue="18" maxValue="44"/>
    </cacheField>
    <cacheField name="Profit Amount" numFmtId="1">
      <sharedItems containsSemiMixedTypes="0" containsString="0" containsNumber="1" minValue="233.1" maxValue="2400"/>
    </cacheField>
    <cacheField name="Days (Date)" numFmtId="0" databaseField="0">
      <fieldGroup base="0">
        <rangePr groupBy="days" startDate="2025-01-03T00:00:00" endDate="2025-04-29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4/2025"/>
        </groupItems>
      </fieldGroup>
    </cacheField>
    <cacheField name="Months (Date)" numFmtId="0" databaseField="0">
      <fieldGroup base="0">
        <rangePr groupBy="months" startDate="2025-01-03T00:00:00" endDate="2025-04-29T00:00:00"/>
        <groupItems count="14">
          <s v="&lt;03/01/2025"/>
          <s v="Jan"/>
          <s v="Feb"/>
          <s v="Mar"/>
          <s v="Apr"/>
          <s v="May"/>
          <s v="Jun"/>
          <s v="Jul"/>
          <s v="Aug"/>
          <s v="Sep"/>
          <s v="Oct"/>
          <s v="Nov"/>
          <s v="Dec"/>
          <s v="&gt;29/04/2025"/>
        </groupItems>
      </fieldGroup>
    </cacheField>
  </cacheFields>
  <extLst>
    <ext xmlns:x14="http://schemas.microsoft.com/office/spreadsheetml/2009/9/main" uri="{725AE2AE-9491-48be-B2B4-4EB974FC3084}">
      <x14:pivotCacheDefinition pivotCacheId="877733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x v="0"/>
    <n v="15"/>
    <n v="500"/>
    <n v="7500"/>
    <n v="22"/>
    <n v="1650"/>
  </r>
  <r>
    <x v="1"/>
    <x v="1"/>
    <x v="0"/>
    <x v="1"/>
    <n v="25"/>
    <n v="80"/>
    <n v="2000"/>
    <n v="18"/>
    <n v="360"/>
  </r>
  <r>
    <x v="2"/>
    <x v="2"/>
    <x v="0"/>
    <x v="2"/>
    <n v="5"/>
    <n v="1200"/>
    <n v="6000"/>
    <n v="25"/>
    <n v="1500"/>
  </r>
  <r>
    <x v="3"/>
    <x v="3"/>
    <x v="0"/>
    <x v="3"/>
    <n v="12"/>
    <n v="150"/>
    <n v="1800"/>
    <n v="20"/>
    <n v="360"/>
  </r>
  <r>
    <x v="4"/>
    <x v="4"/>
    <x v="1"/>
    <x v="0"/>
    <n v="20"/>
    <n v="60"/>
    <n v="1200"/>
    <n v="30"/>
    <n v="360"/>
  </r>
  <r>
    <x v="5"/>
    <x v="5"/>
    <x v="1"/>
    <x v="1"/>
    <n v="8"/>
    <n v="150"/>
    <n v="1200"/>
    <n v="28"/>
    <n v="336"/>
  </r>
  <r>
    <x v="6"/>
    <x v="6"/>
    <x v="1"/>
    <x v="2"/>
    <n v="10"/>
    <n v="200"/>
    <n v="2000"/>
    <n v="27"/>
    <n v="540"/>
  </r>
  <r>
    <x v="7"/>
    <x v="7"/>
    <x v="1"/>
    <x v="3"/>
    <n v="18"/>
    <n v="90"/>
    <n v="1620"/>
    <n v="32"/>
    <n v="518.4"/>
  </r>
  <r>
    <x v="8"/>
    <x v="8"/>
    <x v="2"/>
    <x v="0"/>
    <n v="30"/>
    <n v="40"/>
    <n v="1200"/>
    <n v="35"/>
    <n v="420"/>
  </r>
  <r>
    <x v="9"/>
    <x v="9"/>
    <x v="2"/>
    <x v="1"/>
    <n v="45"/>
    <n v="15"/>
    <n v="675"/>
    <n v="40"/>
    <n v="270"/>
  </r>
  <r>
    <x v="10"/>
    <x v="10"/>
    <x v="2"/>
    <x v="2"/>
    <n v="20"/>
    <n v="35"/>
    <n v="700"/>
    <n v="38"/>
    <n v="266"/>
  </r>
  <r>
    <x v="11"/>
    <x v="11"/>
    <x v="2"/>
    <x v="3"/>
    <n v="10"/>
    <n v="80"/>
    <n v="800"/>
    <n v="42"/>
    <n v="336"/>
  </r>
  <r>
    <x v="12"/>
    <x v="0"/>
    <x v="0"/>
    <x v="0"/>
    <n v="18"/>
    <n v="500"/>
    <n v="9000"/>
    <n v="23"/>
    <n v="2070"/>
  </r>
  <r>
    <x v="13"/>
    <x v="1"/>
    <x v="0"/>
    <x v="1"/>
    <n v="30"/>
    <n v="80"/>
    <n v="2400"/>
    <n v="19"/>
    <n v="456"/>
  </r>
  <r>
    <x v="14"/>
    <x v="2"/>
    <x v="0"/>
    <x v="2"/>
    <n v="4"/>
    <n v="1200"/>
    <n v="4800"/>
    <n v="26"/>
    <n v="1248"/>
  </r>
  <r>
    <x v="15"/>
    <x v="3"/>
    <x v="0"/>
    <x v="3"/>
    <n v="14"/>
    <n v="150"/>
    <n v="2100"/>
    <n v="21"/>
    <n v="441"/>
  </r>
  <r>
    <x v="16"/>
    <x v="4"/>
    <x v="1"/>
    <x v="0"/>
    <n v="22"/>
    <n v="60"/>
    <n v="1320"/>
    <n v="29"/>
    <n v="382.8"/>
  </r>
  <r>
    <x v="17"/>
    <x v="5"/>
    <x v="1"/>
    <x v="1"/>
    <n v="6"/>
    <n v="150"/>
    <n v="900"/>
    <n v="27"/>
    <n v="243"/>
  </r>
  <r>
    <x v="18"/>
    <x v="6"/>
    <x v="1"/>
    <x v="2"/>
    <n v="12"/>
    <n v="200"/>
    <n v="2400"/>
    <n v="26"/>
    <n v="624"/>
  </r>
  <r>
    <x v="19"/>
    <x v="7"/>
    <x v="1"/>
    <x v="3"/>
    <n v="16"/>
    <n v="90"/>
    <n v="1440"/>
    <n v="31"/>
    <n v="446.4"/>
  </r>
  <r>
    <x v="20"/>
    <x v="8"/>
    <x v="2"/>
    <x v="0"/>
    <n v="28"/>
    <n v="40"/>
    <n v="1120"/>
    <n v="34"/>
    <n v="380.8"/>
  </r>
  <r>
    <x v="21"/>
    <x v="9"/>
    <x v="2"/>
    <x v="1"/>
    <n v="50"/>
    <n v="15"/>
    <n v="750"/>
    <n v="41"/>
    <n v="307.5"/>
  </r>
  <r>
    <x v="22"/>
    <x v="10"/>
    <x v="2"/>
    <x v="2"/>
    <n v="18"/>
    <n v="35"/>
    <n v="630"/>
    <n v="37"/>
    <n v="233.1"/>
  </r>
  <r>
    <x v="23"/>
    <x v="11"/>
    <x v="2"/>
    <x v="3"/>
    <n v="9"/>
    <n v="80"/>
    <n v="720"/>
    <n v="43"/>
    <n v="309.60000000000002"/>
  </r>
  <r>
    <x v="24"/>
    <x v="0"/>
    <x v="0"/>
    <x v="0"/>
    <n v="20"/>
    <n v="500"/>
    <n v="10000"/>
    <n v="24"/>
    <n v="2400"/>
  </r>
  <r>
    <x v="25"/>
    <x v="1"/>
    <x v="0"/>
    <x v="1"/>
    <n v="27"/>
    <n v="80"/>
    <n v="2160"/>
    <n v="20"/>
    <n v="432"/>
  </r>
  <r>
    <x v="26"/>
    <x v="2"/>
    <x v="0"/>
    <x v="2"/>
    <n v="6"/>
    <n v="1200"/>
    <n v="7200"/>
    <n v="25"/>
    <n v="1800"/>
  </r>
  <r>
    <x v="27"/>
    <x v="3"/>
    <x v="0"/>
    <x v="3"/>
    <n v="11"/>
    <n v="150"/>
    <n v="1650"/>
    <n v="22"/>
    <n v="363"/>
  </r>
  <r>
    <x v="28"/>
    <x v="4"/>
    <x v="1"/>
    <x v="0"/>
    <n v="25"/>
    <n v="60"/>
    <n v="1500"/>
    <n v="28"/>
    <n v="420"/>
  </r>
  <r>
    <x v="29"/>
    <x v="5"/>
    <x v="1"/>
    <x v="1"/>
    <n v="7"/>
    <n v="150"/>
    <n v="1050"/>
    <n v="29"/>
    <n v="304.5"/>
  </r>
  <r>
    <x v="30"/>
    <x v="6"/>
    <x v="1"/>
    <x v="2"/>
    <n v="9"/>
    <n v="200"/>
    <n v="1800"/>
    <n v="27"/>
    <n v="486"/>
  </r>
  <r>
    <x v="31"/>
    <x v="7"/>
    <x v="1"/>
    <x v="3"/>
    <n v="20"/>
    <n v="90"/>
    <n v="1800"/>
    <n v="33"/>
    <n v="594"/>
  </r>
  <r>
    <x v="32"/>
    <x v="8"/>
    <x v="2"/>
    <x v="0"/>
    <n v="32"/>
    <n v="40"/>
    <n v="1280"/>
    <n v="36"/>
    <n v="460.8"/>
  </r>
  <r>
    <x v="33"/>
    <x v="9"/>
    <x v="2"/>
    <x v="1"/>
    <n v="48"/>
    <n v="15"/>
    <n v="720"/>
    <n v="39"/>
    <n v="280.8"/>
  </r>
  <r>
    <x v="34"/>
    <x v="10"/>
    <x v="2"/>
    <x v="2"/>
    <n v="19"/>
    <n v="35"/>
    <n v="665"/>
    <n v="38"/>
    <n v="252.7"/>
  </r>
  <r>
    <x v="35"/>
    <x v="11"/>
    <x v="2"/>
    <x v="3"/>
    <n v="8"/>
    <n v="80"/>
    <n v="640"/>
    <n v="44"/>
    <n v="281.60000000000002"/>
  </r>
  <r>
    <x v="36"/>
    <x v="0"/>
    <x v="0"/>
    <x v="0"/>
    <n v="17"/>
    <n v="500"/>
    <n v="8500"/>
    <n v="22"/>
    <n v="1870"/>
  </r>
  <r>
    <x v="37"/>
    <x v="1"/>
    <x v="0"/>
    <x v="1"/>
    <n v="24"/>
    <n v="80"/>
    <n v="1920"/>
    <n v="18"/>
    <n v="345.6"/>
  </r>
  <r>
    <x v="38"/>
    <x v="2"/>
    <x v="0"/>
    <x v="2"/>
    <n v="5"/>
    <n v="1200"/>
    <n v="6000"/>
    <n v="26"/>
    <n v="1560"/>
  </r>
  <r>
    <x v="39"/>
    <x v="3"/>
    <x v="0"/>
    <x v="3"/>
    <n v="13"/>
    <n v="150"/>
    <n v="1950"/>
    <n v="23"/>
    <n v="448.5"/>
  </r>
  <r>
    <x v="40"/>
    <x v="4"/>
    <x v="1"/>
    <x v="0"/>
    <n v="23"/>
    <n v="60"/>
    <n v="1380"/>
    <n v="30"/>
    <n v="414"/>
  </r>
  <r>
    <x v="41"/>
    <x v="5"/>
    <x v="1"/>
    <x v="1"/>
    <n v="9"/>
    <n v="150"/>
    <n v="1350"/>
    <n v="27"/>
    <n v="364.5"/>
  </r>
  <r>
    <x v="42"/>
    <x v="6"/>
    <x v="1"/>
    <x v="2"/>
    <n v="11"/>
    <n v="200"/>
    <n v="2200"/>
    <n v="26"/>
    <n v="572"/>
  </r>
  <r>
    <x v="43"/>
    <x v="7"/>
    <x v="1"/>
    <x v="3"/>
    <n v="15"/>
    <n v="90"/>
    <n v="1350"/>
    <n v="32"/>
    <n v="432"/>
  </r>
  <r>
    <x v="44"/>
    <x v="8"/>
    <x v="2"/>
    <x v="0"/>
    <n v="29"/>
    <n v="40"/>
    <n v="1160"/>
    <n v="35"/>
    <n v="406"/>
  </r>
  <r>
    <x v="45"/>
    <x v="9"/>
    <x v="2"/>
    <x v="1"/>
    <n v="52"/>
    <n v="15"/>
    <n v="780"/>
    <n v="40"/>
    <n v="312"/>
  </r>
  <r>
    <x v="46"/>
    <x v="10"/>
    <x v="2"/>
    <x v="2"/>
    <n v="21"/>
    <n v="35"/>
    <n v="735"/>
    <n v="37"/>
    <n v="271.95"/>
  </r>
  <r>
    <x v="47"/>
    <x v="11"/>
    <x v="2"/>
    <x v="3"/>
    <n v="7"/>
    <n v="80"/>
    <n v="560"/>
    <n v="43"/>
    <n v="24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5F825E-FEAB-4329-8055-06DCF73FE7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3:C48" firstHeaderRow="1" firstDataRow="1" firstDataCol="1"/>
  <pivotFields count="11">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items count="4">
        <item x="0"/>
        <item x="2"/>
        <item x="1"/>
        <item t="default"/>
      </items>
    </pivotField>
    <pivotField axis="axisRow" showAll="0">
      <items count="5">
        <item x="2"/>
        <item x="0"/>
        <item x="1"/>
        <item x="3"/>
        <item t="default"/>
      </items>
    </pivotField>
    <pivotField numFmtId="1" showAll="0"/>
    <pivotField numFmtId="1" showAll="0"/>
    <pivotField dataField="1" numFmtId="1" showAll="0"/>
    <pivotField numFmtId="1" showAll="0"/>
    <pivotField numFmtI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Total Sales" fld="6"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5" format="7">
      <pivotArea type="data" outline="0" fieldPosition="0">
        <references count="2">
          <reference field="4294967294" count="1" selected="0">
            <x v="0"/>
          </reference>
          <reference field="3" count="1" selected="0">
            <x v="1"/>
          </reference>
        </references>
      </pivotArea>
    </chartFormat>
    <chartFormat chart="5" format="8">
      <pivotArea type="data" outline="0" fieldPosition="0">
        <references count="2">
          <reference field="4294967294" count="1" selected="0">
            <x v="0"/>
          </reference>
          <reference field="3" count="1" selected="0">
            <x v="2"/>
          </reference>
        </references>
      </pivotArea>
    </chartFormat>
    <chartFormat chart="5" format="9">
      <pivotArea type="data" outline="0" fieldPosition="0">
        <references count="2">
          <reference field="4294967294" count="1" selected="0">
            <x v="0"/>
          </reference>
          <reference field="3"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3" count="1" selected="0">
            <x v="0"/>
          </reference>
        </references>
      </pivotArea>
    </chartFormat>
    <chartFormat chart="6" format="12">
      <pivotArea type="data" outline="0" fieldPosition="0">
        <references count="2">
          <reference field="4294967294" count="1" selected="0">
            <x v="0"/>
          </reference>
          <reference field="3" count="1" selected="0">
            <x v="1"/>
          </reference>
        </references>
      </pivotArea>
    </chartFormat>
    <chartFormat chart="6" format="13">
      <pivotArea type="data" outline="0" fieldPosition="0">
        <references count="2">
          <reference field="4294967294" count="1" selected="0">
            <x v="0"/>
          </reference>
          <reference field="3" count="1" selected="0">
            <x v="2"/>
          </reference>
        </references>
      </pivotArea>
    </chartFormat>
    <chartFormat chart="6"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CCF673-64F1-4DD5-8DE0-79814A1F15A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B25:C31" firstHeaderRow="1" firstDataRow="1" firstDataCol="1"/>
  <pivotFields count="11">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showAll="0" measureFilter="1" sortType="ascending">
      <items count="13">
        <item x="7"/>
        <item x="4"/>
        <item x="1"/>
        <item x="11"/>
        <item x="10"/>
        <item x="2"/>
        <item x="5"/>
        <item x="8"/>
        <item x="0"/>
        <item x="3"/>
        <item x="9"/>
        <item x="6"/>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5">
        <item x="2"/>
        <item x="0"/>
        <item x="1"/>
        <item x="3"/>
        <item t="default"/>
      </items>
    </pivotField>
    <pivotField numFmtId="1" showAll="0"/>
    <pivotField numFmtId="1" showAll="0"/>
    <pivotField dataField="1" numFmtId="1" showAll="0"/>
    <pivotField numFmtId="1" showAll="0"/>
    <pivotField numFmtI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v="9"/>
    </i>
    <i>
      <x v="11"/>
    </i>
    <i>
      <x v="2"/>
    </i>
    <i>
      <x v="5"/>
    </i>
    <i>
      <x v="8"/>
    </i>
    <i t="grand">
      <x/>
    </i>
  </rowItems>
  <colItems count="1">
    <i/>
  </colItems>
  <dataFields count="1">
    <dataField name="Sum of Total Sales" fld="6"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18E4F4-74B1-4107-93F9-7FD7BF4A09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6:C11" firstHeaderRow="1" firstDataRow="1" firstDataCol="1"/>
  <pivotFields count="11">
    <pivotField axis="axisRow"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items count="4">
        <item x="0"/>
        <item x="2"/>
        <item x="1"/>
        <item t="default"/>
      </items>
    </pivotField>
    <pivotField showAll="0">
      <items count="5">
        <item x="2"/>
        <item x="0"/>
        <item x="1"/>
        <item x="3"/>
        <item t="default"/>
      </items>
    </pivotField>
    <pivotField numFmtId="1" showAll="0"/>
    <pivotField numFmtId="1" showAll="0"/>
    <pivotField dataField="1" numFmtId="1" showAll="0"/>
    <pivotField numFmtId="1" showAll="0"/>
    <pivotField numFmtI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0"/>
  </rowFields>
  <rowItems count="5">
    <i>
      <x v="1"/>
    </i>
    <i>
      <x v="2"/>
    </i>
    <i>
      <x v="3"/>
    </i>
    <i>
      <x v="4"/>
    </i>
    <i t="grand">
      <x/>
    </i>
  </rowItems>
  <colItems count="1">
    <i/>
  </colItems>
  <dataFields count="1">
    <dataField name="Sum of Total Sales" fld="6" baseField="0" baseItem="0"/>
  </dataField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AD0203-5118-4E3B-BE44-57962E871E1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62:C66" firstHeaderRow="1" firstDataRow="1" firstDataCol="1"/>
  <pivotFields count="11">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numFmtId="1" showAll="0"/>
    <pivotField numFmtId="1" showAll="0"/>
    <pivotField dataField="1" numFmtId="1" showAll="0"/>
    <pivotField numFmtId="1" showAll="0"/>
    <pivotField numFmtI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2"/>
    </i>
    <i>
      <x v="1"/>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2003DE1-1706-48D9-93D7-BC0F8D3C7095}" sourceName="Category">
  <pivotTables>
    <pivotTable tabId="4" name="PivotTable1"/>
    <pivotTable tabId="4" name="PivotTable2"/>
    <pivotTable tabId="4" name="PivotTable3"/>
    <pivotTable tabId="4" name="PivotTable4"/>
  </pivotTables>
  <data>
    <tabular pivotCacheId="87773386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9127D2-E24B-418E-ADB7-FF4C3C697511}" sourceName="Region">
  <pivotTables>
    <pivotTable tabId="4" name="PivotTable1"/>
    <pivotTable tabId="4" name="PivotTable2"/>
    <pivotTable tabId="4" name="PivotTable3"/>
    <pivotTable tabId="4" name="PivotTable4"/>
  </pivotTables>
  <data>
    <tabular pivotCacheId="877733860">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DDDFA42-E6B8-4319-B49C-FC0F9280A177}" cache="Slicer_Category" caption="Category" style="SlicerStyleLight3" rowHeight="241300"/>
  <slicer name="Region" xr10:uid="{09F1BC9E-8D98-4C05-8DE1-5E34A6D766B1}" cache="Slicer_Region" caption="Region"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1E962B7-586B-4A4A-B03A-00DCD3D024DF}" cache="Slicer_Category" caption="Category" rowHeight="241300"/>
  <slicer name="Region 1" xr10:uid="{8515F9C5-C194-4F04-B1AE-734EF1A33381}" cache="Slicer_Region" caption="Region"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4362F5-FAA5-49A8-BFB0-5E5C5B5C3AB6}" name="Sales_Data" displayName="Sales_Data" ref="A1:I49" totalsRowShown="0">
  <autoFilter ref="A1:I49" xr:uid="{A94362F5-FAA5-49A8-BFB0-5E5C5B5C3AB6}"/>
  <tableColumns count="9">
    <tableColumn id="1" xr3:uid="{42A69C05-8601-4B09-A0CF-CE45D5CFBC56}" name="Date" dataDxfId="5"/>
    <tableColumn id="2" xr3:uid="{2BAF6D36-6DE1-4797-90C8-E19680C1CCB2}" name="Product"/>
    <tableColumn id="3" xr3:uid="{6B188A64-0213-4946-B48A-CE9D6E8E29BA}" name="Category"/>
    <tableColumn id="4" xr3:uid="{1CD301A6-B436-4C05-98CD-28FB4148ABB1}" name="Region"/>
    <tableColumn id="5" xr3:uid="{FF6E4AD9-206D-46AE-98EF-8C5E9CB835AB}" name="Units Sold" dataDxfId="4"/>
    <tableColumn id="6" xr3:uid="{8064E4DD-7462-4E67-B51D-A584C4B4F2BA}" name="Unit Price" dataDxfId="3"/>
    <tableColumn id="7" xr3:uid="{FE7A6B8C-61A0-43E9-B434-951CBCE4024C}" name="Total Sales" dataDxfId="2"/>
    <tableColumn id="8" xr3:uid="{0F541763-232C-41A4-952C-0FF4B8DE7D47}" name="Profit %" dataDxfId="1"/>
    <tableColumn id="9" xr3:uid="{B7EF0DC6-7752-45A6-9ADA-B22ABE9138FB}" name="Profit Amount" dataDxfId="0">
      <calculatedColumnFormula>Sales_Data[[#This Row],[Total Sales]]*Sales_Data[[#This Row],[Profit %]]/100</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373545"/>
      </a:dk2>
      <a:lt2>
        <a:srgbClr val="DCD8DC"/>
      </a:lt2>
      <a:accent1>
        <a:srgbClr val="A273BF"/>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CEDA6-7264-4918-8FC0-95195BA680CE}">
  <dimension ref="A1:I49"/>
  <sheetViews>
    <sheetView topLeftCell="A13" workbookViewId="0">
      <selection activeCell="E11" sqref="E11"/>
    </sheetView>
  </sheetViews>
  <sheetFormatPr defaultRowHeight="15" x14ac:dyDescent="0.25"/>
  <cols>
    <col min="1" max="1" width="10.85546875" customWidth="1"/>
    <col min="2" max="2" width="13.85546875" customWidth="1"/>
    <col min="3" max="3" width="16.28515625" customWidth="1"/>
    <col min="4" max="4" width="9.28515625" customWidth="1"/>
    <col min="5" max="5" width="12.140625" style="2" customWidth="1"/>
    <col min="6" max="6" width="14.140625" style="2" customWidth="1"/>
    <col min="7" max="7" width="12.5703125" style="2" customWidth="1"/>
    <col min="8" max="8" width="10.140625" style="2" customWidth="1"/>
    <col min="9" max="9" width="15.28515625" customWidth="1"/>
  </cols>
  <sheetData>
    <row r="1" spans="1:9" x14ac:dyDescent="0.25">
      <c r="A1" s="1" t="s">
        <v>0</v>
      </c>
      <c r="B1" t="s">
        <v>1</v>
      </c>
      <c r="C1" t="s">
        <v>2</v>
      </c>
      <c r="D1" t="s">
        <v>3</v>
      </c>
      <c r="E1" t="s">
        <v>4</v>
      </c>
      <c r="F1" t="s">
        <v>5</v>
      </c>
      <c r="G1" t="s">
        <v>6</v>
      </c>
      <c r="H1" t="s">
        <v>7</v>
      </c>
      <c r="I1" t="s">
        <v>27</v>
      </c>
    </row>
    <row r="2" spans="1:9" x14ac:dyDescent="0.25">
      <c r="A2" s="1">
        <v>45660</v>
      </c>
      <c r="B2" t="s">
        <v>8</v>
      </c>
      <c r="C2" t="s">
        <v>9</v>
      </c>
      <c r="D2" t="s">
        <v>10</v>
      </c>
      <c r="E2" s="2">
        <v>15</v>
      </c>
      <c r="F2" s="2">
        <v>500</v>
      </c>
      <c r="G2" s="2">
        <v>7500</v>
      </c>
      <c r="H2" s="2">
        <v>22</v>
      </c>
      <c r="I2" s="2">
        <f>Sales_Data[[#This Row],[Total Sales]]*Sales_Data[[#This Row],[Profit %]]/100</f>
        <v>1650</v>
      </c>
    </row>
    <row r="3" spans="1:9" x14ac:dyDescent="0.25">
      <c r="A3" s="1">
        <v>45662</v>
      </c>
      <c r="B3" t="s">
        <v>11</v>
      </c>
      <c r="C3" t="s">
        <v>9</v>
      </c>
      <c r="D3" t="s">
        <v>12</v>
      </c>
      <c r="E3" s="2">
        <v>25</v>
      </c>
      <c r="F3" s="2">
        <v>80</v>
      </c>
      <c r="G3" s="2">
        <v>2000</v>
      </c>
      <c r="H3" s="2">
        <v>18</v>
      </c>
      <c r="I3" s="2">
        <f>Sales_Data[[#This Row],[Total Sales]]*Sales_Data[[#This Row],[Profit %]]/100</f>
        <v>360</v>
      </c>
    </row>
    <row r="4" spans="1:9" x14ac:dyDescent="0.25">
      <c r="A4" s="1">
        <v>45664</v>
      </c>
      <c r="B4" t="s">
        <v>13</v>
      </c>
      <c r="C4" t="s">
        <v>9</v>
      </c>
      <c r="D4" t="s">
        <v>14</v>
      </c>
      <c r="E4" s="2">
        <v>5</v>
      </c>
      <c r="F4" s="2">
        <v>1200</v>
      </c>
      <c r="G4" s="2">
        <v>6000</v>
      </c>
      <c r="H4" s="2">
        <v>25</v>
      </c>
      <c r="I4" s="2">
        <f>Sales_Data[[#This Row],[Total Sales]]*Sales_Data[[#This Row],[Profit %]]/100</f>
        <v>1500</v>
      </c>
    </row>
    <row r="5" spans="1:9" x14ac:dyDescent="0.25">
      <c r="A5" s="1">
        <v>45667</v>
      </c>
      <c r="B5" t="s">
        <v>15</v>
      </c>
      <c r="C5" t="s">
        <v>9</v>
      </c>
      <c r="D5" t="s">
        <v>16</v>
      </c>
      <c r="E5" s="2">
        <v>12</v>
      </c>
      <c r="F5" s="2">
        <v>150</v>
      </c>
      <c r="G5" s="2">
        <v>1800</v>
      </c>
      <c r="H5" s="2">
        <v>20</v>
      </c>
      <c r="I5" s="2">
        <f>Sales_Data[[#This Row],[Total Sales]]*Sales_Data[[#This Row],[Profit %]]/100</f>
        <v>360</v>
      </c>
    </row>
    <row r="6" spans="1:9" x14ac:dyDescent="0.25">
      <c r="A6" s="1">
        <v>45669</v>
      </c>
      <c r="B6" t="s">
        <v>17</v>
      </c>
      <c r="C6" t="s">
        <v>18</v>
      </c>
      <c r="D6" t="s">
        <v>10</v>
      </c>
      <c r="E6" s="2">
        <v>20</v>
      </c>
      <c r="F6" s="2">
        <v>60</v>
      </c>
      <c r="G6" s="2">
        <v>1200</v>
      </c>
      <c r="H6" s="2">
        <v>30</v>
      </c>
      <c r="I6" s="2">
        <f>Sales_Data[[#This Row],[Total Sales]]*Sales_Data[[#This Row],[Profit %]]/100</f>
        <v>360</v>
      </c>
    </row>
    <row r="7" spans="1:9" x14ac:dyDescent="0.25">
      <c r="A7" s="1">
        <v>45672</v>
      </c>
      <c r="B7" t="s">
        <v>19</v>
      </c>
      <c r="C7" t="s">
        <v>18</v>
      </c>
      <c r="D7" t="s">
        <v>12</v>
      </c>
      <c r="E7" s="2">
        <v>8</v>
      </c>
      <c r="F7" s="2">
        <v>150</v>
      </c>
      <c r="G7" s="2">
        <v>1200</v>
      </c>
      <c r="H7" s="2">
        <v>28</v>
      </c>
      <c r="I7" s="2">
        <f>Sales_Data[[#This Row],[Total Sales]]*Sales_Data[[#This Row],[Profit %]]/100</f>
        <v>336</v>
      </c>
    </row>
    <row r="8" spans="1:9" x14ac:dyDescent="0.25">
      <c r="A8" s="1">
        <v>45674</v>
      </c>
      <c r="B8" t="s">
        <v>20</v>
      </c>
      <c r="C8" t="s">
        <v>18</v>
      </c>
      <c r="D8" t="s">
        <v>14</v>
      </c>
      <c r="E8" s="2">
        <v>10</v>
      </c>
      <c r="F8" s="2">
        <v>200</v>
      </c>
      <c r="G8" s="2">
        <v>2000</v>
      </c>
      <c r="H8" s="2">
        <v>27</v>
      </c>
      <c r="I8" s="2">
        <f>Sales_Data[[#This Row],[Total Sales]]*Sales_Data[[#This Row],[Profit %]]/100</f>
        <v>540</v>
      </c>
    </row>
    <row r="9" spans="1:9" x14ac:dyDescent="0.25">
      <c r="A9" s="1">
        <v>45677</v>
      </c>
      <c r="B9" t="s">
        <v>21</v>
      </c>
      <c r="C9" t="s">
        <v>18</v>
      </c>
      <c r="D9" t="s">
        <v>16</v>
      </c>
      <c r="E9" s="2">
        <v>18</v>
      </c>
      <c r="F9" s="2">
        <v>90</v>
      </c>
      <c r="G9" s="2">
        <v>1620</v>
      </c>
      <c r="H9" s="2">
        <v>32</v>
      </c>
      <c r="I9" s="2">
        <f>Sales_Data[[#This Row],[Total Sales]]*Sales_Data[[#This Row],[Profit %]]/100</f>
        <v>518.4</v>
      </c>
    </row>
    <row r="10" spans="1:9" x14ac:dyDescent="0.25">
      <c r="A10" s="1">
        <v>45679</v>
      </c>
      <c r="B10" t="s">
        <v>22</v>
      </c>
      <c r="C10" t="s">
        <v>23</v>
      </c>
      <c r="D10" t="s">
        <v>10</v>
      </c>
      <c r="E10" s="2">
        <v>30</v>
      </c>
      <c r="F10" s="2">
        <v>40</v>
      </c>
      <c r="G10" s="2">
        <v>1200</v>
      </c>
      <c r="H10" s="2">
        <v>35</v>
      </c>
      <c r="I10" s="2">
        <f>Sales_Data[[#This Row],[Total Sales]]*Sales_Data[[#This Row],[Profit %]]/100</f>
        <v>420</v>
      </c>
    </row>
    <row r="11" spans="1:9" x14ac:dyDescent="0.25">
      <c r="A11" s="1">
        <v>45682</v>
      </c>
      <c r="B11" t="s">
        <v>24</v>
      </c>
      <c r="C11" t="s">
        <v>23</v>
      </c>
      <c r="D11" t="s">
        <v>12</v>
      </c>
      <c r="E11" s="2">
        <v>45</v>
      </c>
      <c r="F11" s="2">
        <v>15</v>
      </c>
      <c r="G11" s="2">
        <v>675</v>
      </c>
      <c r="H11" s="2">
        <v>40</v>
      </c>
      <c r="I11" s="2">
        <f>Sales_Data[[#This Row],[Total Sales]]*Sales_Data[[#This Row],[Profit %]]/100</f>
        <v>270</v>
      </c>
    </row>
    <row r="12" spans="1:9" x14ac:dyDescent="0.25">
      <c r="A12" s="1">
        <v>45683</v>
      </c>
      <c r="B12" t="s">
        <v>25</v>
      </c>
      <c r="C12" t="s">
        <v>23</v>
      </c>
      <c r="D12" t="s">
        <v>14</v>
      </c>
      <c r="E12" s="2">
        <v>20</v>
      </c>
      <c r="F12" s="2">
        <v>35</v>
      </c>
      <c r="G12" s="2">
        <v>700</v>
      </c>
      <c r="H12" s="2">
        <v>38</v>
      </c>
      <c r="I12" s="2">
        <f>Sales_Data[[#This Row],[Total Sales]]*Sales_Data[[#This Row],[Profit %]]/100</f>
        <v>266</v>
      </c>
    </row>
    <row r="13" spans="1:9" x14ac:dyDescent="0.25">
      <c r="A13" s="1">
        <v>45685</v>
      </c>
      <c r="B13" t="s">
        <v>26</v>
      </c>
      <c r="C13" t="s">
        <v>23</v>
      </c>
      <c r="D13" t="s">
        <v>16</v>
      </c>
      <c r="E13" s="2">
        <v>10</v>
      </c>
      <c r="F13" s="2">
        <v>80</v>
      </c>
      <c r="G13" s="2">
        <v>800</v>
      </c>
      <c r="H13" s="2">
        <v>42</v>
      </c>
      <c r="I13" s="2">
        <f>Sales_Data[[#This Row],[Total Sales]]*Sales_Data[[#This Row],[Profit %]]/100</f>
        <v>336</v>
      </c>
    </row>
    <row r="14" spans="1:9" x14ac:dyDescent="0.25">
      <c r="A14" s="1">
        <v>45691</v>
      </c>
      <c r="B14" t="s">
        <v>8</v>
      </c>
      <c r="C14" t="s">
        <v>9</v>
      </c>
      <c r="D14" t="s">
        <v>10</v>
      </c>
      <c r="E14" s="2">
        <v>18</v>
      </c>
      <c r="F14" s="2">
        <v>500</v>
      </c>
      <c r="G14" s="2">
        <v>9000</v>
      </c>
      <c r="H14" s="2">
        <v>23</v>
      </c>
      <c r="I14" s="2">
        <f>Sales_Data[[#This Row],[Total Sales]]*Sales_Data[[#This Row],[Profit %]]/100</f>
        <v>2070</v>
      </c>
    </row>
    <row r="15" spans="1:9" x14ac:dyDescent="0.25">
      <c r="A15" s="1">
        <v>45693</v>
      </c>
      <c r="B15" t="s">
        <v>11</v>
      </c>
      <c r="C15" t="s">
        <v>9</v>
      </c>
      <c r="D15" t="s">
        <v>12</v>
      </c>
      <c r="E15" s="2">
        <v>30</v>
      </c>
      <c r="F15" s="2">
        <v>80</v>
      </c>
      <c r="G15" s="2">
        <v>2400</v>
      </c>
      <c r="H15" s="2">
        <v>19</v>
      </c>
      <c r="I15" s="2">
        <f>Sales_Data[[#This Row],[Total Sales]]*Sales_Data[[#This Row],[Profit %]]/100</f>
        <v>456</v>
      </c>
    </row>
    <row r="16" spans="1:9" x14ac:dyDescent="0.25">
      <c r="A16" s="1">
        <v>45694</v>
      </c>
      <c r="B16" t="s">
        <v>13</v>
      </c>
      <c r="C16" t="s">
        <v>9</v>
      </c>
      <c r="D16" t="s">
        <v>14</v>
      </c>
      <c r="E16" s="2">
        <v>4</v>
      </c>
      <c r="F16" s="2">
        <v>1200</v>
      </c>
      <c r="G16" s="2">
        <v>4800</v>
      </c>
      <c r="H16" s="2">
        <v>26</v>
      </c>
      <c r="I16" s="2">
        <f>Sales_Data[[#This Row],[Total Sales]]*Sales_Data[[#This Row],[Profit %]]/100</f>
        <v>1248</v>
      </c>
    </row>
    <row r="17" spans="1:9" x14ac:dyDescent="0.25">
      <c r="A17" s="1">
        <v>45698</v>
      </c>
      <c r="B17" t="s">
        <v>15</v>
      </c>
      <c r="C17" t="s">
        <v>9</v>
      </c>
      <c r="D17" t="s">
        <v>16</v>
      </c>
      <c r="E17" s="2">
        <v>14</v>
      </c>
      <c r="F17" s="2">
        <v>150</v>
      </c>
      <c r="G17" s="2">
        <v>2100</v>
      </c>
      <c r="H17" s="2">
        <v>21</v>
      </c>
      <c r="I17" s="2">
        <f>Sales_Data[[#This Row],[Total Sales]]*Sales_Data[[#This Row],[Profit %]]/100</f>
        <v>441</v>
      </c>
    </row>
    <row r="18" spans="1:9" x14ac:dyDescent="0.25">
      <c r="A18" s="1">
        <v>45700</v>
      </c>
      <c r="B18" t="s">
        <v>17</v>
      </c>
      <c r="C18" t="s">
        <v>18</v>
      </c>
      <c r="D18" t="s">
        <v>10</v>
      </c>
      <c r="E18" s="2">
        <v>22</v>
      </c>
      <c r="F18" s="2">
        <v>60</v>
      </c>
      <c r="G18" s="2">
        <v>1320</v>
      </c>
      <c r="H18" s="2">
        <v>29</v>
      </c>
      <c r="I18" s="2">
        <f>Sales_Data[[#This Row],[Total Sales]]*Sales_Data[[#This Row],[Profit %]]/100</f>
        <v>382.8</v>
      </c>
    </row>
    <row r="19" spans="1:9" x14ac:dyDescent="0.25">
      <c r="A19" s="1">
        <v>45703</v>
      </c>
      <c r="B19" t="s">
        <v>19</v>
      </c>
      <c r="C19" t="s">
        <v>18</v>
      </c>
      <c r="D19" t="s">
        <v>12</v>
      </c>
      <c r="E19" s="2">
        <v>6</v>
      </c>
      <c r="F19" s="2">
        <v>150</v>
      </c>
      <c r="G19" s="2">
        <v>900</v>
      </c>
      <c r="H19" s="2">
        <v>27</v>
      </c>
      <c r="I19" s="2">
        <f>Sales_Data[[#This Row],[Total Sales]]*Sales_Data[[#This Row],[Profit %]]/100</f>
        <v>243</v>
      </c>
    </row>
    <row r="20" spans="1:9" x14ac:dyDescent="0.25">
      <c r="A20" s="1">
        <v>45705</v>
      </c>
      <c r="B20" t="s">
        <v>20</v>
      </c>
      <c r="C20" t="s">
        <v>18</v>
      </c>
      <c r="D20" t="s">
        <v>14</v>
      </c>
      <c r="E20" s="2">
        <v>12</v>
      </c>
      <c r="F20" s="2">
        <v>200</v>
      </c>
      <c r="G20" s="2">
        <v>2400</v>
      </c>
      <c r="H20" s="2">
        <v>26</v>
      </c>
      <c r="I20" s="2">
        <f>Sales_Data[[#This Row],[Total Sales]]*Sales_Data[[#This Row],[Profit %]]/100</f>
        <v>624</v>
      </c>
    </row>
    <row r="21" spans="1:9" x14ac:dyDescent="0.25">
      <c r="A21" s="1">
        <v>45707</v>
      </c>
      <c r="B21" t="s">
        <v>21</v>
      </c>
      <c r="C21" t="s">
        <v>18</v>
      </c>
      <c r="D21" t="s">
        <v>16</v>
      </c>
      <c r="E21" s="2">
        <v>16</v>
      </c>
      <c r="F21" s="2">
        <v>90</v>
      </c>
      <c r="G21" s="2">
        <v>1440</v>
      </c>
      <c r="H21" s="2">
        <v>31</v>
      </c>
      <c r="I21" s="2">
        <f>Sales_Data[[#This Row],[Total Sales]]*Sales_Data[[#This Row],[Profit %]]/100</f>
        <v>446.4</v>
      </c>
    </row>
    <row r="22" spans="1:9" x14ac:dyDescent="0.25">
      <c r="A22" s="1">
        <v>45709</v>
      </c>
      <c r="B22" t="s">
        <v>22</v>
      </c>
      <c r="C22" t="s">
        <v>23</v>
      </c>
      <c r="D22" t="s">
        <v>10</v>
      </c>
      <c r="E22" s="2">
        <v>28</v>
      </c>
      <c r="F22" s="2">
        <v>40</v>
      </c>
      <c r="G22" s="2">
        <v>1120</v>
      </c>
      <c r="H22" s="2">
        <v>34</v>
      </c>
      <c r="I22" s="2">
        <f>Sales_Data[[#This Row],[Total Sales]]*Sales_Data[[#This Row],[Profit %]]/100</f>
        <v>380.8</v>
      </c>
    </row>
    <row r="23" spans="1:9" x14ac:dyDescent="0.25">
      <c r="A23" s="1">
        <v>45713</v>
      </c>
      <c r="B23" t="s">
        <v>24</v>
      </c>
      <c r="C23" t="s">
        <v>23</v>
      </c>
      <c r="D23" t="s">
        <v>12</v>
      </c>
      <c r="E23" s="2">
        <v>50</v>
      </c>
      <c r="F23" s="2">
        <v>15</v>
      </c>
      <c r="G23" s="2">
        <v>750</v>
      </c>
      <c r="H23" s="2">
        <v>41</v>
      </c>
      <c r="I23" s="2">
        <f>Sales_Data[[#This Row],[Total Sales]]*Sales_Data[[#This Row],[Profit %]]/100</f>
        <v>307.5</v>
      </c>
    </row>
    <row r="24" spans="1:9" x14ac:dyDescent="0.25">
      <c r="A24" s="1">
        <v>45715</v>
      </c>
      <c r="B24" t="s">
        <v>25</v>
      </c>
      <c r="C24" t="s">
        <v>23</v>
      </c>
      <c r="D24" t="s">
        <v>14</v>
      </c>
      <c r="E24" s="2">
        <v>18</v>
      </c>
      <c r="F24" s="2">
        <v>35</v>
      </c>
      <c r="G24" s="2">
        <v>630</v>
      </c>
      <c r="H24" s="2">
        <v>37</v>
      </c>
      <c r="I24" s="2">
        <f>Sales_Data[[#This Row],[Total Sales]]*Sales_Data[[#This Row],[Profit %]]/100</f>
        <v>233.1</v>
      </c>
    </row>
    <row r="25" spans="1:9" x14ac:dyDescent="0.25">
      <c r="A25" s="1">
        <v>45716</v>
      </c>
      <c r="B25" t="s">
        <v>26</v>
      </c>
      <c r="C25" t="s">
        <v>23</v>
      </c>
      <c r="D25" t="s">
        <v>16</v>
      </c>
      <c r="E25" s="2">
        <v>9</v>
      </c>
      <c r="F25" s="2">
        <v>80</v>
      </c>
      <c r="G25" s="2">
        <v>720</v>
      </c>
      <c r="H25" s="2">
        <v>43</v>
      </c>
      <c r="I25" s="2">
        <f>Sales_Data[[#This Row],[Total Sales]]*Sales_Data[[#This Row],[Profit %]]/100</f>
        <v>309.60000000000002</v>
      </c>
    </row>
    <row r="26" spans="1:9" x14ac:dyDescent="0.25">
      <c r="A26" s="1">
        <v>45719</v>
      </c>
      <c r="B26" t="s">
        <v>8</v>
      </c>
      <c r="C26" t="s">
        <v>9</v>
      </c>
      <c r="D26" t="s">
        <v>10</v>
      </c>
      <c r="E26" s="2">
        <v>20</v>
      </c>
      <c r="F26" s="2">
        <v>500</v>
      </c>
      <c r="G26" s="2">
        <v>10000</v>
      </c>
      <c r="H26" s="2">
        <v>24</v>
      </c>
      <c r="I26" s="2">
        <f>Sales_Data[[#This Row],[Total Sales]]*Sales_Data[[#This Row],[Profit %]]/100</f>
        <v>2400</v>
      </c>
    </row>
    <row r="27" spans="1:9" x14ac:dyDescent="0.25">
      <c r="A27" s="1">
        <v>45721</v>
      </c>
      <c r="B27" t="s">
        <v>11</v>
      </c>
      <c r="C27" t="s">
        <v>9</v>
      </c>
      <c r="D27" t="s">
        <v>12</v>
      </c>
      <c r="E27" s="2">
        <v>27</v>
      </c>
      <c r="F27" s="2">
        <v>80</v>
      </c>
      <c r="G27" s="2">
        <v>2160</v>
      </c>
      <c r="H27" s="2">
        <v>20</v>
      </c>
      <c r="I27" s="2">
        <f>Sales_Data[[#This Row],[Total Sales]]*Sales_Data[[#This Row],[Profit %]]/100</f>
        <v>432</v>
      </c>
    </row>
    <row r="28" spans="1:9" x14ac:dyDescent="0.25">
      <c r="A28" s="1">
        <v>45723</v>
      </c>
      <c r="B28" t="s">
        <v>13</v>
      </c>
      <c r="C28" t="s">
        <v>9</v>
      </c>
      <c r="D28" t="s">
        <v>14</v>
      </c>
      <c r="E28" s="2">
        <v>6</v>
      </c>
      <c r="F28" s="2">
        <v>1200</v>
      </c>
      <c r="G28" s="2">
        <v>7200</v>
      </c>
      <c r="H28" s="2">
        <v>25</v>
      </c>
      <c r="I28" s="2">
        <f>Sales_Data[[#This Row],[Total Sales]]*Sales_Data[[#This Row],[Profit %]]/100</f>
        <v>1800</v>
      </c>
    </row>
    <row r="29" spans="1:9" x14ac:dyDescent="0.25">
      <c r="A29" s="1">
        <v>45726</v>
      </c>
      <c r="B29" t="s">
        <v>15</v>
      </c>
      <c r="C29" t="s">
        <v>9</v>
      </c>
      <c r="D29" t="s">
        <v>16</v>
      </c>
      <c r="E29" s="2">
        <v>11</v>
      </c>
      <c r="F29" s="2">
        <v>150</v>
      </c>
      <c r="G29" s="2">
        <v>1650</v>
      </c>
      <c r="H29" s="2">
        <v>22</v>
      </c>
      <c r="I29" s="2">
        <f>Sales_Data[[#This Row],[Total Sales]]*Sales_Data[[#This Row],[Profit %]]/100</f>
        <v>363</v>
      </c>
    </row>
    <row r="30" spans="1:9" x14ac:dyDescent="0.25">
      <c r="A30" s="1">
        <v>45728</v>
      </c>
      <c r="B30" t="s">
        <v>17</v>
      </c>
      <c r="C30" t="s">
        <v>18</v>
      </c>
      <c r="D30" t="s">
        <v>10</v>
      </c>
      <c r="E30" s="2">
        <v>25</v>
      </c>
      <c r="F30" s="2">
        <v>60</v>
      </c>
      <c r="G30" s="2">
        <v>1500</v>
      </c>
      <c r="H30" s="2">
        <v>28</v>
      </c>
      <c r="I30" s="2">
        <f>Sales_Data[[#This Row],[Total Sales]]*Sales_Data[[#This Row],[Profit %]]/100</f>
        <v>420</v>
      </c>
    </row>
    <row r="31" spans="1:9" x14ac:dyDescent="0.25">
      <c r="A31" s="1">
        <v>45730</v>
      </c>
      <c r="B31" t="s">
        <v>19</v>
      </c>
      <c r="C31" t="s">
        <v>18</v>
      </c>
      <c r="D31" t="s">
        <v>12</v>
      </c>
      <c r="E31" s="2">
        <v>7</v>
      </c>
      <c r="F31" s="2">
        <v>150</v>
      </c>
      <c r="G31" s="2">
        <v>1050</v>
      </c>
      <c r="H31" s="2">
        <v>29</v>
      </c>
      <c r="I31" s="2">
        <f>Sales_Data[[#This Row],[Total Sales]]*Sales_Data[[#This Row],[Profit %]]/100</f>
        <v>304.5</v>
      </c>
    </row>
    <row r="32" spans="1:9" x14ac:dyDescent="0.25">
      <c r="A32" s="1">
        <v>45733</v>
      </c>
      <c r="B32" t="s">
        <v>20</v>
      </c>
      <c r="C32" t="s">
        <v>18</v>
      </c>
      <c r="D32" t="s">
        <v>14</v>
      </c>
      <c r="E32" s="2">
        <v>9</v>
      </c>
      <c r="F32" s="2">
        <v>200</v>
      </c>
      <c r="G32" s="2">
        <v>1800</v>
      </c>
      <c r="H32" s="2">
        <v>27</v>
      </c>
      <c r="I32" s="2">
        <f>Sales_Data[[#This Row],[Total Sales]]*Sales_Data[[#This Row],[Profit %]]/100</f>
        <v>486</v>
      </c>
    </row>
    <row r="33" spans="1:9" x14ac:dyDescent="0.25">
      <c r="A33" s="1">
        <v>45736</v>
      </c>
      <c r="B33" t="s">
        <v>21</v>
      </c>
      <c r="C33" t="s">
        <v>18</v>
      </c>
      <c r="D33" t="s">
        <v>16</v>
      </c>
      <c r="E33" s="2">
        <v>20</v>
      </c>
      <c r="F33" s="2">
        <v>90</v>
      </c>
      <c r="G33" s="2">
        <v>1800</v>
      </c>
      <c r="H33" s="2">
        <v>33</v>
      </c>
      <c r="I33" s="2">
        <f>Sales_Data[[#This Row],[Total Sales]]*Sales_Data[[#This Row],[Profit %]]/100</f>
        <v>594</v>
      </c>
    </row>
    <row r="34" spans="1:9" x14ac:dyDescent="0.25">
      <c r="A34" s="1">
        <v>45737</v>
      </c>
      <c r="B34" t="s">
        <v>22</v>
      </c>
      <c r="C34" t="s">
        <v>23</v>
      </c>
      <c r="D34" t="s">
        <v>10</v>
      </c>
      <c r="E34" s="2">
        <v>32</v>
      </c>
      <c r="F34" s="2">
        <v>40</v>
      </c>
      <c r="G34" s="2">
        <v>1280</v>
      </c>
      <c r="H34" s="2">
        <v>36</v>
      </c>
      <c r="I34" s="2">
        <f>Sales_Data[[#This Row],[Total Sales]]*Sales_Data[[#This Row],[Profit %]]/100</f>
        <v>460.8</v>
      </c>
    </row>
    <row r="35" spans="1:9" x14ac:dyDescent="0.25">
      <c r="A35" s="1">
        <v>45740</v>
      </c>
      <c r="B35" t="s">
        <v>24</v>
      </c>
      <c r="C35" t="s">
        <v>23</v>
      </c>
      <c r="D35" t="s">
        <v>12</v>
      </c>
      <c r="E35" s="2">
        <v>48</v>
      </c>
      <c r="F35" s="2">
        <v>15</v>
      </c>
      <c r="G35" s="2">
        <v>720</v>
      </c>
      <c r="H35" s="2">
        <v>39</v>
      </c>
      <c r="I35" s="2">
        <f>Sales_Data[[#This Row],[Total Sales]]*Sales_Data[[#This Row],[Profit %]]/100</f>
        <v>280.8</v>
      </c>
    </row>
    <row r="36" spans="1:9" x14ac:dyDescent="0.25">
      <c r="A36" s="1">
        <v>45742</v>
      </c>
      <c r="B36" t="s">
        <v>25</v>
      </c>
      <c r="C36" t="s">
        <v>23</v>
      </c>
      <c r="D36" t="s">
        <v>14</v>
      </c>
      <c r="E36" s="2">
        <v>19</v>
      </c>
      <c r="F36" s="2">
        <v>35</v>
      </c>
      <c r="G36" s="2">
        <v>665</v>
      </c>
      <c r="H36" s="2">
        <v>38</v>
      </c>
      <c r="I36" s="2">
        <f>Sales_Data[[#This Row],[Total Sales]]*Sales_Data[[#This Row],[Profit %]]/100</f>
        <v>252.7</v>
      </c>
    </row>
    <row r="37" spans="1:9" x14ac:dyDescent="0.25">
      <c r="A37" s="1">
        <v>45744</v>
      </c>
      <c r="B37" t="s">
        <v>26</v>
      </c>
      <c r="C37" t="s">
        <v>23</v>
      </c>
      <c r="D37" t="s">
        <v>16</v>
      </c>
      <c r="E37" s="2">
        <v>8</v>
      </c>
      <c r="F37" s="2">
        <v>80</v>
      </c>
      <c r="G37" s="2">
        <v>640</v>
      </c>
      <c r="H37" s="2">
        <v>44</v>
      </c>
      <c r="I37" s="2">
        <f>Sales_Data[[#This Row],[Total Sales]]*Sales_Data[[#This Row],[Profit %]]/100</f>
        <v>281.60000000000002</v>
      </c>
    </row>
    <row r="38" spans="1:9" x14ac:dyDescent="0.25">
      <c r="A38" s="1">
        <v>45750</v>
      </c>
      <c r="B38" t="s">
        <v>8</v>
      </c>
      <c r="C38" t="s">
        <v>9</v>
      </c>
      <c r="D38" t="s">
        <v>10</v>
      </c>
      <c r="E38" s="2">
        <v>17</v>
      </c>
      <c r="F38" s="2">
        <v>500</v>
      </c>
      <c r="G38" s="2">
        <v>8500</v>
      </c>
      <c r="H38" s="2">
        <v>22</v>
      </c>
      <c r="I38" s="2">
        <f>Sales_Data[[#This Row],[Total Sales]]*Sales_Data[[#This Row],[Profit %]]/100</f>
        <v>1870</v>
      </c>
    </row>
    <row r="39" spans="1:9" x14ac:dyDescent="0.25">
      <c r="A39" s="1">
        <v>45752</v>
      </c>
      <c r="B39" t="s">
        <v>11</v>
      </c>
      <c r="C39" t="s">
        <v>9</v>
      </c>
      <c r="D39" t="s">
        <v>12</v>
      </c>
      <c r="E39" s="2">
        <v>24</v>
      </c>
      <c r="F39" s="2">
        <v>80</v>
      </c>
      <c r="G39" s="2">
        <v>1920</v>
      </c>
      <c r="H39" s="2">
        <v>18</v>
      </c>
      <c r="I39" s="2">
        <f>Sales_Data[[#This Row],[Total Sales]]*Sales_Data[[#This Row],[Profit %]]/100</f>
        <v>345.6</v>
      </c>
    </row>
    <row r="40" spans="1:9" x14ac:dyDescent="0.25">
      <c r="A40" s="1">
        <v>45754</v>
      </c>
      <c r="B40" t="s">
        <v>13</v>
      </c>
      <c r="C40" t="s">
        <v>9</v>
      </c>
      <c r="D40" t="s">
        <v>14</v>
      </c>
      <c r="E40" s="2">
        <v>5</v>
      </c>
      <c r="F40" s="2">
        <v>1200</v>
      </c>
      <c r="G40" s="2">
        <v>6000</v>
      </c>
      <c r="H40" s="2">
        <v>26</v>
      </c>
      <c r="I40" s="2">
        <f>Sales_Data[[#This Row],[Total Sales]]*Sales_Data[[#This Row],[Profit %]]/100</f>
        <v>1560</v>
      </c>
    </row>
    <row r="41" spans="1:9" x14ac:dyDescent="0.25">
      <c r="A41" s="1">
        <v>45757</v>
      </c>
      <c r="B41" t="s">
        <v>15</v>
      </c>
      <c r="C41" t="s">
        <v>9</v>
      </c>
      <c r="D41" t="s">
        <v>16</v>
      </c>
      <c r="E41" s="2">
        <v>13</v>
      </c>
      <c r="F41" s="2">
        <v>150</v>
      </c>
      <c r="G41" s="2">
        <v>1950</v>
      </c>
      <c r="H41" s="2">
        <v>23</v>
      </c>
      <c r="I41" s="2">
        <f>Sales_Data[[#This Row],[Total Sales]]*Sales_Data[[#This Row],[Profit %]]/100</f>
        <v>448.5</v>
      </c>
    </row>
    <row r="42" spans="1:9" x14ac:dyDescent="0.25">
      <c r="A42" s="1">
        <v>45759</v>
      </c>
      <c r="B42" t="s">
        <v>17</v>
      </c>
      <c r="C42" t="s">
        <v>18</v>
      </c>
      <c r="D42" t="s">
        <v>10</v>
      </c>
      <c r="E42" s="2">
        <v>23</v>
      </c>
      <c r="F42" s="2">
        <v>60</v>
      </c>
      <c r="G42" s="2">
        <v>1380</v>
      </c>
      <c r="H42" s="2">
        <v>30</v>
      </c>
      <c r="I42" s="2">
        <f>Sales_Data[[#This Row],[Total Sales]]*Sales_Data[[#This Row],[Profit %]]/100</f>
        <v>414</v>
      </c>
    </row>
    <row r="43" spans="1:9" x14ac:dyDescent="0.25">
      <c r="A43" s="1">
        <v>45761</v>
      </c>
      <c r="B43" t="s">
        <v>19</v>
      </c>
      <c r="C43" t="s">
        <v>18</v>
      </c>
      <c r="D43" t="s">
        <v>12</v>
      </c>
      <c r="E43" s="2">
        <v>9</v>
      </c>
      <c r="F43" s="2">
        <v>150</v>
      </c>
      <c r="G43" s="2">
        <v>1350</v>
      </c>
      <c r="H43" s="2">
        <v>27</v>
      </c>
      <c r="I43" s="2">
        <f>Sales_Data[[#This Row],[Total Sales]]*Sales_Data[[#This Row],[Profit %]]/100</f>
        <v>364.5</v>
      </c>
    </row>
    <row r="44" spans="1:9" x14ac:dyDescent="0.25">
      <c r="A44" s="1">
        <v>45764</v>
      </c>
      <c r="B44" t="s">
        <v>20</v>
      </c>
      <c r="C44" t="s">
        <v>18</v>
      </c>
      <c r="D44" t="s">
        <v>14</v>
      </c>
      <c r="E44" s="2">
        <v>11</v>
      </c>
      <c r="F44" s="2">
        <v>200</v>
      </c>
      <c r="G44" s="2">
        <v>2200</v>
      </c>
      <c r="H44" s="2">
        <v>26</v>
      </c>
      <c r="I44" s="2">
        <f>Sales_Data[[#This Row],[Total Sales]]*Sales_Data[[#This Row],[Profit %]]/100</f>
        <v>572</v>
      </c>
    </row>
    <row r="45" spans="1:9" x14ac:dyDescent="0.25">
      <c r="A45" s="1">
        <v>45767</v>
      </c>
      <c r="B45" t="s">
        <v>21</v>
      </c>
      <c r="C45" t="s">
        <v>18</v>
      </c>
      <c r="D45" t="s">
        <v>16</v>
      </c>
      <c r="E45" s="2">
        <v>15</v>
      </c>
      <c r="F45" s="2">
        <v>90</v>
      </c>
      <c r="G45" s="2">
        <v>1350</v>
      </c>
      <c r="H45" s="2">
        <v>32</v>
      </c>
      <c r="I45" s="2">
        <f>Sales_Data[[#This Row],[Total Sales]]*Sales_Data[[#This Row],[Profit %]]/100</f>
        <v>432</v>
      </c>
    </row>
    <row r="46" spans="1:9" x14ac:dyDescent="0.25">
      <c r="A46" s="1">
        <v>45769</v>
      </c>
      <c r="B46" t="s">
        <v>22</v>
      </c>
      <c r="C46" t="s">
        <v>23</v>
      </c>
      <c r="D46" t="s">
        <v>10</v>
      </c>
      <c r="E46" s="2">
        <v>29</v>
      </c>
      <c r="F46" s="2">
        <v>40</v>
      </c>
      <c r="G46" s="2">
        <v>1160</v>
      </c>
      <c r="H46" s="2">
        <v>35</v>
      </c>
      <c r="I46" s="2">
        <f>Sales_Data[[#This Row],[Total Sales]]*Sales_Data[[#This Row],[Profit %]]/100</f>
        <v>406</v>
      </c>
    </row>
    <row r="47" spans="1:9" x14ac:dyDescent="0.25">
      <c r="A47" s="1">
        <v>45772</v>
      </c>
      <c r="B47" t="s">
        <v>24</v>
      </c>
      <c r="C47" t="s">
        <v>23</v>
      </c>
      <c r="D47" t="s">
        <v>12</v>
      </c>
      <c r="E47" s="2">
        <v>52</v>
      </c>
      <c r="F47" s="2">
        <v>15</v>
      </c>
      <c r="G47" s="2">
        <v>780</v>
      </c>
      <c r="H47" s="2">
        <v>40</v>
      </c>
      <c r="I47" s="2">
        <f>Sales_Data[[#This Row],[Total Sales]]*Sales_Data[[#This Row],[Profit %]]/100</f>
        <v>312</v>
      </c>
    </row>
    <row r="48" spans="1:9" x14ac:dyDescent="0.25">
      <c r="A48" s="1">
        <v>45774</v>
      </c>
      <c r="B48" t="s">
        <v>25</v>
      </c>
      <c r="C48" t="s">
        <v>23</v>
      </c>
      <c r="D48" t="s">
        <v>14</v>
      </c>
      <c r="E48" s="2">
        <v>21</v>
      </c>
      <c r="F48" s="2">
        <v>35</v>
      </c>
      <c r="G48" s="2">
        <v>735</v>
      </c>
      <c r="H48" s="2">
        <v>37</v>
      </c>
      <c r="I48" s="2">
        <f>Sales_Data[[#This Row],[Total Sales]]*Sales_Data[[#This Row],[Profit %]]/100</f>
        <v>271.95</v>
      </c>
    </row>
    <row r="49" spans="1:9" x14ac:dyDescent="0.25">
      <c r="A49" s="1">
        <v>45775</v>
      </c>
      <c r="B49" t="s">
        <v>26</v>
      </c>
      <c r="C49" t="s">
        <v>23</v>
      </c>
      <c r="D49" t="s">
        <v>16</v>
      </c>
      <c r="E49" s="2">
        <v>7</v>
      </c>
      <c r="F49" s="2">
        <v>80</v>
      </c>
      <c r="G49" s="2">
        <v>560</v>
      </c>
      <c r="H49" s="2">
        <v>43</v>
      </c>
      <c r="I49" s="2">
        <f>Sales_Data[[#This Row],[Total Sales]]*Sales_Data[[#This Row],[Profit %]]/100</f>
        <v>240.8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46D6-8318-4360-B2DB-8087D34F7083}">
  <dimension ref="A1:B13"/>
  <sheetViews>
    <sheetView workbookViewId="0">
      <selection activeCell="B13" sqref="B13"/>
    </sheetView>
  </sheetViews>
  <sheetFormatPr defaultRowHeight="15" x14ac:dyDescent="0.25"/>
  <cols>
    <col min="2" max="2" width="12.5703125" customWidth="1"/>
  </cols>
  <sheetData>
    <row r="1" spans="1:2" ht="15.75" x14ac:dyDescent="0.25">
      <c r="A1" s="7" t="s">
        <v>29</v>
      </c>
    </row>
    <row r="3" spans="1:2" x14ac:dyDescent="0.25">
      <c r="A3">
        <v>1</v>
      </c>
      <c r="B3" s="3" t="s">
        <v>6</v>
      </c>
    </row>
    <row r="4" spans="1:2" x14ac:dyDescent="0.25">
      <c r="B4" s="2">
        <f>SUM(Sales_Data[Total Sales])</f>
        <v>112625</v>
      </c>
    </row>
    <row r="6" spans="1:2" x14ac:dyDescent="0.25">
      <c r="A6">
        <v>2</v>
      </c>
      <c r="B6" s="3" t="s">
        <v>28</v>
      </c>
    </row>
    <row r="7" spans="1:2" x14ac:dyDescent="0.25">
      <c r="B7" s="2">
        <f>SUM(Sales_Data[Units Sold])</f>
        <v>903</v>
      </c>
    </row>
    <row r="9" spans="1:2" x14ac:dyDescent="0.25">
      <c r="A9">
        <v>3</v>
      </c>
      <c r="B9" s="3" t="s">
        <v>30</v>
      </c>
    </row>
    <row r="10" spans="1:2" x14ac:dyDescent="0.25">
      <c r="B10" s="4">
        <f>AVERAGE(Sales_Data[Profit %])</f>
        <v>29.958333333333332</v>
      </c>
    </row>
    <row r="12" spans="1:2" x14ac:dyDescent="0.25">
      <c r="A12">
        <v>4</v>
      </c>
      <c r="B12" s="3" t="s">
        <v>41</v>
      </c>
    </row>
    <row r="13" spans="1:2" x14ac:dyDescent="0.25">
      <c r="B13" t="str">
        <f>INDEX(Sales_Data[Product],MATCH(MAX(Sales_Data[Units Sold]),Sales_Data[Units Sold],0))</f>
        <v>T-Shirt Basic</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5ACB1-0493-4909-9BDE-B8D9541FAA06}">
  <dimension ref="A1:C79"/>
  <sheetViews>
    <sheetView topLeftCell="A70" workbookViewId="0">
      <selection activeCell="O49" sqref="O49"/>
    </sheetView>
  </sheetViews>
  <sheetFormatPr defaultRowHeight="15" x14ac:dyDescent="0.25"/>
  <cols>
    <col min="2" max="2" width="16.5703125" bestFit="1" customWidth="1"/>
    <col min="3" max="3" width="17.28515625" bestFit="1" customWidth="1"/>
    <col min="8" max="8" width="8.7109375" customWidth="1"/>
  </cols>
  <sheetData>
    <row r="1" spans="1:3" ht="15.75" x14ac:dyDescent="0.25">
      <c r="A1" s="6" t="s">
        <v>38</v>
      </c>
    </row>
    <row r="4" spans="1:3" x14ac:dyDescent="0.25">
      <c r="B4" s="10" t="s">
        <v>39</v>
      </c>
    </row>
    <row r="6" spans="1:3" x14ac:dyDescent="0.25">
      <c r="B6" s="8" t="s">
        <v>31</v>
      </c>
      <c r="C6" t="s">
        <v>37</v>
      </c>
    </row>
    <row r="7" spans="1:3" x14ac:dyDescent="0.25">
      <c r="B7" s="9" t="s">
        <v>33</v>
      </c>
      <c r="C7">
        <v>26695</v>
      </c>
    </row>
    <row r="8" spans="1:3" x14ac:dyDescent="0.25">
      <c r="B8" s="9" t="s">
        <v>34</v>
      </c>
      <c r="C8">
        <v>27580</v>
      </c>
    </row>
    <row r="9" spans="1:3" x14ac:dyDescent="0.25">
      <c r="B9" s="9" t="s">
        <v>35</v>
      </c>
      <c r="C9">
        <v>30465</v>
      </c>
    </row>
    <row r="10" spans="1:3" x14ac:dyDescent="0.25">
      <c r="B10" s="9" t="s">
        <v>36</v>
      </c>
      <c r="C10">
        <v>27885</v>
      </c>
    </row>
    <row r="11" spans="1:3" x14ac:dyDescent="0.25">
      <c r="B11" s="9" t="s">
        <v>32</v>
      </c>
      <c r="C11">
        <v>112625</v>
      </c>
    </row>
    <row r="23" spans="2:3" x14ac:dyDescent="0.25">
      <c r="B23" s="5" t="s">
        <v>40</v>
      </c>
    </row>
    <row r="25" spans="2:3" x14ac:dyDescent="0.25">
      <c r="B25" s="8" t="s">
        <v>31</v>
      </c>
      <c r="C25" t="s">
        <v>37</v>
      </c>
    </row>
    <row r="26" spans="2:3" x14ac:dyDescent="0.25">
      <c r="B26" s="9" t="s">
        <v>15</v>
      </c>
      <c r="C26">
        <v>7500</v>
      </c>
    </row>
    <row r="27" spans="2:3" x14ac:dyDescent="0.25">
      <c r="B27" s="9" t="s">
        <v>20</v>
      </c>
      <c r="C27">
        <v>8400</v>
      </c>
    </row>
    <row r="28" spans="2:3" x14ac:dyDescent="0.25">
      <c r="B28" s="9" t="s">
        <v>11</v>
      </c>
      <c r="C28">
        <v>8480</v>
      </c>
    </row>
    <row r="29" spans="2:3" x14ac:dyDescent="0.25">
      <c r="B29" s="9" t="s">
        <v>13</v>
      </c>
      <c r="C29">
        <v>24000</v>
      </c>
    </row>
    <row r="30" spans="2:3" x14ac:dyDescent="0.25">
      <c r="B30" s="9" t="s">
        <v>8</v>
      </c>
      <c r="C30">
        <v>35000</v>
      </c>
    </row>
    <row r="31" spans="2:3" x14ac:dyDescent="0.25">
      <c r="B31" s="9" t="s">
        <v>32</v>
      </c>
      <c r="C31">
        <v>83380</v>
      </c>
    </row>
    <row r="41" spans="2:3" x14ac:dyDescent="0.25">
      <c r="B41" s="5" t="s">
        <v>42</v>
      </c>
    </row>
    <row r="43" spans="2:3" x14ac:dyDescent="0.25">
      <c r="B43" s="8" t="s">
        <v>31</v>
      </c>
      <c r="C43" t="s">
        <v>37</v>
      </c>
    </row>
    <row r="44" spans="2:3" x14ac:dyDescent="0.25">
      <c r="B44" s="9" t="s">
        <v>14</v>
      </c>
      <c r="C44">
        <v>35130</v>
      </c>
    </row>
    <row r="45" spans="2:3" x14ac:dyDescent="0.25">
      <c r="B45" s="9" t="s">
        <v>10</v>
      </c>
      <c r="C45">
        <v>45160</v>
      </c>
    </row>
    <row r="46" spans="2:3" x14ac:dyDescent="0.25">
      <c r="B46" s="9" t="s">
        <v>12</v>
      </c>
      <c r="C46">
        <v>15905</v>
      </c>
    </row>
    <row r="47" spans="2:3" x14ac:dyDescent="0.25">
      <c r="B47" s="9" t="s">
        <v>16</v>
      </c>
      <c r="C47">
        <v>16430</v>
      </c>
    </row>
    <row r="48" spans="2:3" x14ac:dyDescent="0.25">
      <c r="B48" s="9" t="s">
        <v>32</v>
      </c>
      <c r="C48">
        <v>112625</v>
      </c>
    </row>
    <row r="60" spans="2:3" x14ac:dyDescent="0.25">
      <c r="B60" s="5" t="s">
        <v>43</v>
      </c>
    </row>
    <row r="62" spans="2:3" x14ac:dyDescent="0.25">
      <c r="B62" s="8" t="s">
        <v>31</v>
      </c>
      <c r="C62" t="s">
        <v>37</v>
      </c>
    </row>
    <row r="63" spans="2:3" x14ac:dyDescent="0.25">
      <c r="B63" s="9" t="s">
        <v>9</v>
      </c>
      <c r="C63">
        <v>74980</v>
      </c>
    </row>
    <row r="64" spans="2:3" x14ac:dyDescent="0.25">
      <c r="B64" s="9" t="s">
        <v>18</v>
      </c>
      <c r="C64">
        <v>24510</v>
      </c>
    </row>
    <row r="65" spans="2:3" x14ac:dyDescent="0.25">
      <c r="B65" s="9" t="s">
        <v>23</v>
      </c>
      <c r="C65">
        <v>13135</v>
      </c>
    </row>
    <row r="66" spans="2:3" x14ac:dyDescent="0.25">
      <c r="B66" s="9" t="s">
        <v>32</v>
      </c>
      <c r="C66">
        <v>112625</v>
      </c>
    </row>
    <row r="79" spans="2:3" x14ac:dyDescent="0.25">
      <c r="B79" s="5" t="s">
        <v>44</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C3556-5806-451B-B749-39787FAB5196}">
  <dimension ref="A1"/>
  <sheetViews>
    <sheetView showGridLines="0" showRowColHeaders="0" tabSelected="1" zoomScale="80" zoomScaleNormal="80" workbookViewId="0">
      <selection activeCell="AF20" sqref="AF20"/>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Dashboard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ELCOT</cp:lastModifiedBy>
  <dcterms:created xsi:type="dcterms:W3CDTF">2025-11-23T06:45:17Z</dcterms:created>
  <dcterms:modified xsi:type="dcterms:W3CDTF">2025-11-30T13:51:23Z</dcterms:modified>
</cp:coreProperties>
</file>